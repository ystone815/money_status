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자산" sheetId="1" r:id="rId1"/>
    <sheet name="일별" sheetId="5" r:id="rId2"/>
    <sheet name="연금목표" sheetId="13" r:id="rId3"/>
    <sheet name="휴이목표" sheetId="14" r:id="rId4"/>
    <sheet name="연금" sheetId="12" r:id="rId5"/>
    <sheet name="영석연봉" sheetId="4" r:id="rId6"/>
    <sheet name="미래55" sheetId="10" r:id="rId7"/>
  </sheets>
  <definedNames>
    <definedName name="_xlchart.v1.0" hidden="1">일별!$M$14:$Q$14</definedName>
    <definedName name="_xlchart.v1.1" hidden="1">일별!$M$15:$Q$15</definedName>
    <definedName name="_xlchart.v1.2" hidden="1">일별!$M$14:$Q$14</definedName>
    <definedName name="_xlchart.v1.3" hidden="1">일별!$M$15:$Q$15</definedName>
  </definedNames>
  <calcPr calcId="162913"/>
</workbook>
</file>

<file path=xl/calcChain.xml><?xml version="1.0" encoding="utf-8"?>
<calcChain xmlns="http://schemas.openxmlformats.org/spreadsheetml/2006/main">
  <c r="O6" i="13" l="1"/>
  <c r="N6" i="13"/>
  <c r="N7" i="13" s="1"/>
  <c r="N8" i="13" s="1"/>
  <c r="N9" i="13" s="1"/>
  <c r="N10" i="13" s="1"/>
  <c r="N11" i="13" s="1"/>
  <c r="N12" i="13" s="1"/>
  <c r="N13" i="13" s="1"/>
  <c r="N14" i="13" s="1"/>
  <c r="N15" i="13" s="1"/>
  <c r="N16" i="13" s="1"/>
  <c r="N17" i="13" s="1"/>
  <c r="N18" i="13" s="1"/>
  <c r="N19" i="13" s="1"/>
  <c r="N20" i="13" s="1"/>
  <c r="N21" i="13" s="1"/>
  <c r="N22" i="13" s="1"/>
  <c r="N23" i="13" s="1"/>
  <c r="N24" i="13" s="1"/>
  <c r="N25" i="13" s="1"/>
  <c r="N26" i="13" s="1"/>
  <c r="N27" i="13" s="1"/>
  <c r="M6" i="13"/>
  <c r="M7" i="13" s="1"/>
  <c r="M8" i="13" s="1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M19" i="13" s="1"/>
  <c r="M20" i="13" s="1"/>
  <c r="M21" i="13" s="1"/>
  <c r="M22" i="13" s="1"/>
  <c r="M23" i="13" s="1"/>
  <c r="M24" i="13" s="1"/>
  <c r="M25" i="13" s="1"/>
  <c r="M26" i="13" s="1"/>
  <c r="M27" i="13" s="1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O7" i="13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P6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6" i="13"/>
  <c r="G8" i="13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4" i="13" s="1"/>
  <c r="G25" i="13" s="1"/>
  <c r="G26" i="13" s="1"/>
  <c r="G27" i="13" s="1"/>
  <c r="F8" i="13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E8" i="13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G7" i="13"/>
  <c r="F7" i="13"/>
  <c r="E7" i="13"/>
  <c r="D5" i="14"/>
  <c r="D6" i="14" s="1"/>
  <c r="D7" i="14" s="1"/>
  <c r="D8" i="14" s="1"/>
  <c r="D9" i="14" s="1"/>
  <c r="D10" i="14" s="1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26" i="14" s="1"/>
  <c r="D27" i="14" s="1"/>
  <c r="D28" i="14" s="1"/>
  <c r="D29" i="14" s="1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40" i="14" s="1"/>
  <c r="D41" i="14" s="1"/>
  <c r="D42" i="14" s="1"/>
  <c r="E5" i="14" l="1"/>
  <c r="F5" i="1"/>
  <c r="F4" i="1"/>
  <c r="F3" i="1"/>
  <c r="F5" i="14" l="1"/>
  <c r="F6" i="14" s="1"/>
  <c r="F7" i="14" s="1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E6" i="14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D14" i="4"/>
  <c r="I35" i="5" l="1"/>
  <c r="I34" i="5"/>
  <c r="I33" i="5"/>
  <c r="I2" i="5" l="1"/>
  <c r="K3" i="5" l="1"/>
  <c r="I4" i="5"/>
  <c r="I3" i="5"/>
  <c r="H3" i="5"/>
  <c r="I5" i="5" l="1"/>
  <c r="I6" i="5" l="1"/>
  <c r="I32" i="5" l="1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 l="1"/>
  <c r="I8" i="5"/>
  <c r="I9" i="5"/>
  <c r="I7" i="5"/>
  <c r="I4" i="12" l="1"/>
  <c r="I3" i="12"/>
  <c r="I2" i="12"/>
  <c r="P183" i="10" l="1"/>
  <c r="P182" i="10"/>
  <c r="P181" i="10"/>
  <c r="P180" i="10"/>
  <c r="P179" i="10"/>
  <c r="P178" i="10"/>
  <c r="P177" i="10"/>
  <c r="P176" i="10"/>
  <c r="AA175" i="10"/>
  <c r="AA176" i="10" s="1"/>
  <c r="AA177" i="10" s="1"/>
  <c r="AA178" i="10" s="1"/>
  <c r="AA179" i="10" s="1"/>
  <c r="AA180" i="10" s="1"/>
  <c r="AA181" i="10" s="1"/>
  <c r="AA182" i="10" s="1"/>
  <c r="AA183" i="10" s="1"/>
  <c r="P175" i="10"/>
  <c r="P174" i="10"/>
  <c r="P173" i="10"/>
  <c r="P172" i="10"/>
  <c r="P171" i="10"/>
  <c r="P170" i="10"/>
  <c r="P169" i="10"/>
  <c r="P168" i="10"/>
  <c r="P167" i="10"/>
  <c r="P166" i="10"/>
  <c r="P165" i="10"/>
  <c r="P164" i="10"/>
  <c r="P163" i="10"/>
  <c r="P162" i="10"/>
  <c r="P161" i="10"/>
  <c r="P160" i="10"/>
  <c r="P159" i="10"/>
  <c r="P158" i="10"/>
  <c r="P157" i="10"/>
  <c r="P156" i="10"/>
  <c r="P155" i="10"/>
  <c r="P154" i="10"/>
  <c r="P153" i="10"/>
  <c r="P152" i="10"/>
  <c r="P151" i="10"/>
  <c r="T150" i="10"/>
  <c r="P150" i="10"/>
  <c r="AA149" i="10"/>
  <c r="AA150" i="10" s="1"/>
  <c r="AA151" i="10" s="1"/>
  <c r="AA152" i="10" s="1"/>
  <c r="AA153" i="10" s="1"/>
  <c r="AA154" i="10" s="1"/>
  <c r="AA155" i="10" s="1"/>
  <c r="AA156" i="10" s="1"/>
  <c r="AA157" i="10" s="1"/>
  <c r="AA158" i="10" s="1"/>
  <c r="AA159" i="10" s="1"/>
  <c r="AA160" i="10" s="1"/>
  <c r="AA161" i="10" s="1"/>
  <c r="AA162" i="10" s="1"/>
  <c r="AA163" i="10" s="1"/>
  <c r="AA164" i="10" s="1"/>
  <c r="AA165" i="10" s="1"/>
  <c r="AA166" i="10" s="1"/>
  <c r="AA167" i="10" s="1"/>
  <c r="AA168" i="10" s="1"/>
  <c r="AA169" i="10" s="1"/>
  <c r="AA170" i="10" s="1"/>
  <c r="AA171" i="10" s="1"/>
  <c r="AA172" i="10" s="1"/>
  <c r="AA173" i="10" s="1"/>
  <c r="AA174" i="10" s="1"/>
  <c r="S147" i="10"/>
  <c r="S146" i="10"/>
  <c r="G146" i="10"/>
  <c r="AA145" i="10"/>
  <c r="AA146" i="10" s="1"/>
  <c r="AA147" i="10" s="1"/>
  <c r="AA148" i="10" s="1"/>
  <c r="S145" i="10"/>
  <c r="P145" i="10"/>
  <c r="G145" i="10"/>
  <c r="AA144" i="10"/>
  <c r="R144" i="10"/>
  <c r="R145" i="10" s="1"/>
  <c r="R146" i="10" s="1"/>
  <c r="R147" i="10" s="1"/>
  <c r="R148" i="10" s="1"/>
  <c r="R149" i="10" s="1"/>
  <c r="R150" i="10" s="1"/>
  <c r="R151" i="10" s="1"/>
  <c r="R152" i="10" s="1"/>
  <c r="R153" i="10" s="1"/>
  <c r="R154" i="10" s="1"/>
  <c r="R155" i="10" s="1"/>
  <c r="R156" i="10" s="1"/>
  <c r="R157" i="10" s="1"/>
  <c r="R158" i="10" s="1"/>
  <c r="R159" i="10" s="1"/>
  <c r="P144" i="10"/>
  <c r="G144" i="10"/>
  <c r="AB143" i="10"/>
  <c r="J143" i="10"/>
  <c r="Q143" i="10" s="1"/>
  <c r="P136" i="10"/>
  <c r="P135" i="10"/>
  <c r="P134" i="10"/>
  <c r="P133" i="10"/>
  <c r="P132" i="10"/>
  <c r="P131" i="10"/>
  <c r="P130" i="10"/>
  <c r="P129" i="10"/>
  <c r="P128" i="10"/>
  <c r="P127" i="10"/>
  <c r="P126" i="10"/>
  <c r="P125" i="10"/>
  <c r="P124" i="10"/>
  <c r="P123" i="10"/>
  <c r="P122" i="10"/>
  <c r="P121" i="10"/>
  <c r="P120" i="10"/>
  <c r="P119" i="10"/>
  <c r="P118" i="10"/>
  <c r="P117" i="10"/>
  <c r="P116" i="10"/>
  <c r="P115" i="10"/>
  <c r="P114" i="10"/>
  <c r="P113" i="10"/>
  <c r="P112" i="10"/>
  <c r="P111" i="10"/>
  <c r="P110" i="10"/>
  <c r="P109" i="10"/>
  <c r="P108" i="10"/>
  <c r="P107" i="10"/>
  <c r="P106" i="10"/>
  <c r="P105" i="10"/>
  <c r="AA104" i="10"/>
  <c r="AA105" i="10" s="1"/>
  <c r="AA106" i="10" s="1"/>
  <c r="AA107" i="10" s="1"/>
  <c r="AA108" i="10" s="1"/>
  <c r="AA109" i="10" s="1"/>
  <c r="AA110" i="10" s="1"/>
  <c r="AA111" i="10" s="1"/>
  <c r="AA112" i="10" s="1"/>
  <c r="AA113" i="10" s="1"/>
  <c r="AA114" i="10" s="1"/>
  <c r="AA115" i="10" s="1"/>
  <c r="AA116" i="10" s="1"/>
  <c r="AA117" i="10" s="1"/>
  <c r="AA118" i="10" s="1"/>
  <c r="AA119" i="10" s="1"/>
  <c r="AA120" i="10" s="1"/>
  <c r="AA121" i="10" s="1"/>
  <c r="AA122" i="10" s="1"/>
  <c r="AA123" i="10" s="1"/>
  <c r="AA124" i="10" s="1"/>
  <c r="AA125" i="10" s="1"/>
  <c r="AA126" i="10" s="1"/>
  <c r="AA127" i="10" s="1"/>
  <c r="AA128" i="10" s="1"/>
  <c r="AA129" i="10" s="1"/>
  <c r="AA130" i="10" s="1"/>
  <c r="AA131" i="10" s="1"/>
  <c r="AA132" i="10" s="1"/>
  <c r="AA133" i="10" s="1"/>
  <c r="AA134" i="10" s="1"/>
  <c r="AA135" i="10" s="1"/>
  <c r="AA136" i="10" s="1"/>
  <c r="P104" i="10"/>
  <c r="T103" i="10"/>
  <c r="P103" i="10"/>
  <c r="AA102" i="10"/>
  <c r="AA103" i="10" s="1"/>
  <c r="AA101" i="10"/>
  <c r="S101" i="10"/>
  <c r="R101" i="10"/>
  <c r="R102" i="10" s="1"/>
  <c r="R103" i="10" s="1"/>
  <c r="R104" i="10" s="1"/>
  <c r="R105" i="10" s="1"/>
  <c r="R106" i="10" s="1"/>
  <c r="R107" i="10" s="1"/>
  <c r="R108" i="10" s="1"/>
  <c r="R109" i="10" s="1"/>
  <c r="R110" i="10" s="1"/>
  <c r="R111" i="10" s="1"/>
  <c r="R112" i="10" s="1"/>
  <c r="S100" i="10"/>
  <c r="AA99" i="10"/>
  <c r="AA100" i="10" s="1"/>
  <c r="S99" i="10"/>
  <c r="AA98" i="10"/>
  <c r="S98" i="10"/>
  <c r="P98" i="10"/>
  <c r="G98" i="10"/>
  <c r="G99" i="10" s="1"/>
  <c r="G100" i="10" s="1"/>
  <c r="AA97" i="10"/>
  <c r="V97" i="10"/>
  <c r="V98" i="10" s="1"/>
  <c r="V99" i="10" s="1"/>
  <c r="V100" i="10" s="1"/>
  <c r="V101" i="10" s="1"/>
  <c r="V102" i="10" s="1"/>
  <c r="V103" i="10" s="1"/>
  <c r="V104" i="10" s="1"/>
  <c r="V105" i="10" s="1"/>
  <c r="V106" i="10" s="1"/>
  <c r="V107" i="10" s="1"/>
  <c r="V108" i="10" s="1"/>
  <c r="V109" i="10" s="1"/>
  <c r="V110" i="10" s="1"/>
  <c r="V111" i="10" s="1"/>
  <c r="V112" i="10" s="1"/>
  <c r="V113" i="10" s="1"/>
  <c r="V114" i="10" s="1"/>
  <c r="V115" i="10" s="1"/>
  <c r="V116" i="10" s="1"/>
  <c r="V117" i="10" s="1"/>
  <c r="V118" i="10" s="1"/>
  <c r="V119" i="10" s="1"/>
  <c r="V120" i="10" s="1"/>
  <c r="V121" i="10" s="1"/>
  <c r="V122" i="10" s="1"/>
  <c r="V123" i="10" s="1"/>
  <c r="V124" i="10" s="1"/>
  <c r="V125" i="10" s="1"/>
  <c r="V126" i="10" s="1"/>
  <c r="V127" i="10" s="1"/>
  <c r="V128" i="10" s="1"/>
  <c r="V129" i="10" s="1"/>
  <c r="V130" i="10" s="1"/>
  <c r="V131" i="10" s="1"/>
  <c r="V132" i="10" s="1"/>
  <c r="V133" i="10" s="1"/>
  <c r="V134" i="10" s="1"/>
  <c r="V135" i="10" s="1"/>
  <c r="V136" i="10" s="1"/>
  <c r="R97" i="10"/>
  <c r="R98" i="10" s="1"/>
  <c r="R99" i="10" s="1"/>
  <c r="R100" i="10" s="1"/>
  <c r="P97" i="10"/>
  <c r="G97" i="10"/>
  <c r="AB96" i="10"/>
  <c r="J96" i="10"/>
  <c r="Q96" i="10" s="1"/>
  <c r="R60" i="10"/>
  <c r="R61" i="10" s="1"/>
  <c r="R62" i="10" s="1"/>
  <c r="R63" i="10" s="1"/>
  <c r="R64" i="10" s="1"/>
  <c r="R65" i="10" s="1"/>
  <c r="R66" i="10" s="1"/>
  <c r="S57" i="10"/>
  <c r="R57" i="10"/>
  <c r="R58" i="10" s="1"/>
  <c r="R59" i="10" s="1"/>
  <c r="S56" i="10"/>
  <c r="S55" i="10"/>
  <c r="S53" i="10"/>
  <c r="P53" i="10"/>
  <c r="AA52" i="10"/>
  <c r="AA53" i="10" s="1"/>
  <c r="AA54" i="10" s="1"/>
  <c r="AA55" i="10" s="1"/>
  <c r="AA56" i="10" s="1"/>
  <c r="AA57" i="10" s="1"/>
  <c r="AA58" i="10" s="1"/>
  <c r="AA59" i="10" s="1"/>
  <c r="AA60" i="10" s="1"/>
  <c r="AA61" i="10" s="1"/>
  <c r="AA62" i="10" s="1"/>
  <c r="AA63" i="10" s="1"/>
  <c r="AA64" i="10" s="1"/>
  <c r="AA65" i="10" s="1"/>
  <c r="AA66" i="10" s="1"/>
  <c r="AA67" i="10" s="1"/>
  <c r="AA68" i="10" s="1"/>
  <c r="AA69" i="10" s="1"/>
  <c r="AA70" i="10" s="1"/>
  <c r="AA71" i="10" s="1"/>
  <c r="AA72" i="10" s="1"/>
  <c r="AA73" i="10" s="1"/>
  <c r="AA74" i="10" s="1"/>
  <c r="AA75" i="10" s="1"/>
  <c r="AA76" i="10" s="1"/>
  <c r="AA77" i="10" s="1"/>
  <c r="AA78" i="10" s="1"/>
  <c r="AA79" i="10" s="1"/>
  <c r="AA80" i="10" s="1"/>
  <c r="AA81" i="10" s="1"/>
  <c r="AA82" i="10" s="1"/>
  <c r="AA83" i="10" s="1"/>
  <c r="AA84" i="10" s="1"/>
  <c r="AA85" i="10" s="1"/>
  <c r="AA86" i="10" s="1"/>
  <c r="AA87" i="10" s="1"/>
  <c r="AA88" i="10" s="1"/>
  <c r="AA89" i="10" s="1"/>
  <c r="AA90" i="10" s="1"/>
  <c r="S52" i="10"/>
  <c r="S54" i="10" s="1"/>
  <c r="P54" i="10" s="1"/>
  <c r="P52" i="10"/>
  <c r="I52" i="10"/>
  <c r="I53" i="10" s="1"/>
  <c r="I54" i="10" s="1"/>
  <c r="I55" i="10" s="1"/>
  <c r="I56" i="10" s="1"/>
  <c r="I57" i="10" s="1"/>
  <c r="I58" i="10" s="1"/>
  <c r="I59" i="10" s="1"/>
  <c r="I60" i="10" s="1"/>
  <c r="I61" i="10" s="1"/>
  <c r="I62" i="10" s="1"/>
  <c r="I63" i="10" s="1"/>
  <c r="I64" i="10" s="1"/>
  <c r="I65" i="10" s="1"/>
  <c r="I66" i="10" s="1"/>
  <c r="I67" i="10" s="1"/>
  <c r="G52" i="10"/>
  <c r="J52" i="10" s="1"/>
  <c r="Q52" i="10" s="1"/>
  <c r="AA51" i="10"/>
  <c r="R51" i="10"/>
  <c r="R52" i="10" s="1"/>
  <c r="R53" i="10" s="1"/>
  <c r="R54" i="10" s="1"/>
  <c r="R55" i="10" s="1"/>
  <c r="R56" i="10" s="1"/>
  <c r="P51" i="10"/>
  <c r="G51" i="10"/>
  <c r="AB50" i="10"/>
  <c r="J50" i="10"/>
  <c r="Q50" i="10" s="1"/>
  <c r="U51" i="10" s="1"/>
  <c r="C20" i="10"/>
  <c r="C21" i="10" s="1"/>
  <c r="C16" i="10"/>
  <c r="C17" i="10" s="1"/>
  <c r="C13" i="10"/>
  <c r="U144" i="10" s="1"/>
  <c r="C12" i="10"/>
  <c r="S11" i="10"/>
  <c r="S9" i="10"/>
  <c r="C9" i="10"/>
  <c r="I51" i="10" s="1"/>
  <c r="J51" i="10" s="1"/>
  <c r="Q51" i="10" s="1"/>
  <c r="S7" i="10"/>
  <c r="P7" i="10"/>
  <c r="C7" i="10"/>
  <c r="V6" i="10"/>
  <c r="V7" i="10" s="1"/>
  <c r="V8" i="10" s="1"/>
  <c r="V9" i="10" s="1"/>
  <c r="V10" i="10" s="1"/>
  <c r="V11" i="10" s="1"/>
  <c r="V12" i="10" s="1"/>
  <c r="V13" i="10" s="1"/>
  <c r="V14" i="10" s="1"/>
  <c r="V15" i="10" s="1"/>
  <c r="V16" i="10" s="1"/>
  <c r="V17" i="10" s="1"/>
  <c r="V18" i="10" s="1"/>
  <c r="V19" i="10" s="1"/>
  <c r="V20" i="10" s="1"/>
  <c r="V21" i="10" s="1"/>
  <c r="V22" i="10" s="1"/>
  <c r="V23" i="10" s="1"/>
  <c r="V24" i="10" s="1"/>
  <c r="V25" i="10" s="1"/>
  <c r="V26" i="10" s="1"/>
  <c r="V27" i="10" s="1"/>
  <c r="V28" i="10" s="1"/>
  <c r="V29" i="10" s="1"/>
  <c r="V30" i="10" s="1"/>
  <c r="V31" i="10" s="1"/>
  <c r="V32" i="10" s="1"/>
  <c r="V33" i="10" s="1"/>
  <c r="V34" i="10" s="1"/>
  <c r="V35" i="10" s="1"/>
  <c r="V36" i="10" s="1"/>
  <c r="V37" i="10" s="1"/>
  <c r="V38" i="10" s="1"/>
  <c r="V39" i="10" s="1"/>
  <c r="V40" i="10" s="1"/>
  <c r="V41" i="10" s="1"/>
  <c r="V42" i="10" s="1"/>
  <c r="V43" i="10" s="1"/>
  <c r="V44" i="10" s="1"/>
  <c r="S6" i="10"/>
  <c r="R6" i="10"/>
  <c r="R7" i="10" s="1"/>
  <c r="R8" i="10" s="1"/>
  <c r="R9" i="10" s="1"/>
  <c r="R10" i="10" s="1"/>
  <c r="R11" i="10" s="1"/>
  <c r="R12" i="10" s="1"/>
  <c r="R13" i="10" s="1"/>
  <c r="R14" i="10" s="1"/>
  <c r="R15" i="10" s="1"/>
  <c r="R16" i="10" s="1"/>
  <c r="R17" i="10" s="1"/>
  <c r="R18" i="10" s="1"/>
  <c r="R19" i="10" s="1"/>
  <c r="R20" i="10" s="1"/>
  <c r="AA5" i="10"/>
  <c r="AA6" i="10" s="1"/>
  <c r="AA7" i="10" s="1"/>
  <c r="AA8" i="10" s="1"/>
  <c r="AA9" i="10" s="1"/>
  <c r="AA10" i="10" s="1"/>
  <c r="AA11" i="10" s="1"/>
  <c r="AA12" i="10" s="1"/>
  <c r="AA13" i="10" s="1"/>
  <c r="AA14" i="10" s="1"/>
  <c r="AA15" i="10" s="1"/>
  <c r="AA16" i="10" s="1"/>
  <c r="AA17" i="10" s="1"/>
  <c r="AA18" i="10" s="1"/>
  <c r="AA19" i="10" s="1"/>
  <c r="AA20" i="10" s="1"/>
  <c r="AA21" i="10" s="1"/>
  <c r="AA22" i="10" s="1"/>
  <c r="AA23" i="10" s="1"/>
  <c r="AA24" i="10" s="1"/>
  <c r="AA25" i="10" s="1"/>
  <c r="AA26" i="10" s="1"/>
  <c r="AA27" i="10" s="1"/>
  <c r="AA28" i="10" s="1"/>
  <c r="AA29" i="10" s="1"/>
  <c r="AA30" i="10" s="1"/>
  <c r="AA31" i="10" s="1"/>
  <c r="AA32" i="10" s="1"/>
  <c r="AA33" i="10" s="1"/>
  <c r="AA34" i="10" s="1"/>
  <c r="AA35" i="10" s="1"/>
  <c r="AA36" i="10" s="1"/>
  <c r="AA37" i="10" s="1"/>
  <c r="AA38" i="10" s="1"/>
  <c r="AA39" i="10" s="1"/>
  <c r="AA40" i="10" s="1"/>
  <c r="AA41" i="10" s="1"/>
  <c r="AA42" i="10" s="1"/>
  <c r="AA43" i="10" s="1"/>
  <c r="AA44" i="10" s="1"/>
  <c r="V5" i="10"/>
  <c r="R5" i="10"/>
  <c r="P5" i="10"/>
  <c r="I5" i="10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G5" i="10"/>
  <c r="C5" i="10"/>
  <c r="AB4" i="10"/>
  <c r="J4" i="10"/>
  <c r="Q4" i="10" s="1"/>
  <c r="U5" i="10" s="1"/>
  <c r="I22" i="10" l="1"/>
  <c r="J21" i="10"/>
  <c r="I68" i="10"/>
  <c r="J67" i="10"/>
  <c r="Y144" i="10"/>
  <c r="Y145" i="10" s="1"/>
  <c r="Y146" i="10" s="1"/>
  <c r="Y147" i="10" s="1"/>
  <c r="Y148" i="10" s="1"/>
  <c r="Y149" i="10" s="1"/>
  <c r="Y150" i="10" s="1"/>
  <c r="Y151" i="10" s="1"/>
  <c r="Y152" i="10" s="1"/>
  <c r="Y153" i="10" s="1"/>
  <c r="Y154" i="10" s="1"/>
  <c r="Y155" i="10" s="1"/>
  <c r="Y156" i="10" s="1"/>
  <c r="Y157" i="10" s="1"/>
  <c r="Y158" i="10" s="1"/>
  <c r="Y159" i="10" s="1"/>
  <c r="Y160" i="10" s="1"/>
  <c r="Y161" i="10" s="1"/>
  <c r="Y162" i="10" s="1"/>
  <c r="Y163" i="10" s="1"/>
  <c r="Y164" i="10" s="1"/>
  <c r="Y165" i="10" s="1"/>
  <c r="Y166" i="10" s="1"/>
  <c r="Y167" i="10" s="1"/>
  <c r="Y168" i="10" s="1"/>
  <c r="Y169" i="10" s="1"/>
  <c r="Y170" i="10" s="1"/>
  <c r="Y171" i="10" s="1"/>
  <c r="Y172" i="10" s="1"/>
  <c r="Y173" i="10" s="1"/>
  <c r="Y174" i="10" s="1"/>
  <c r="Y175" i="10" s="1"/>
  <c r="Y176" i="10" s="1"/>
  <c r="Y177" i="10" s="1"/>
  <c r="Y178" i="10" s="1"/>
  <c r="Y179" i="10" s="1"/>
  <c r="Y180" i="10" s="1"/>
  <c r="Y181" i="10" s="1"/>
  <c r="Y182" i="10" s="1"/>
  <c r="Y183" i="10" s="1"/>
  <c r="X144" i="10"/>
  <c r="X145" i="10" s="1"/>
  <c r="X146" i="10" s="1"/>
  <c r="X147" i="10" s="1"/>
  <c r="X148" i="10" s="1"/>
  <c r="X149" i="10" s="1"/>
  <c r="X150" i="10" s="1"/>
  <c r="X151" i="10" s="1"/>
  <c r="X152" i="10" s="1"/>
  <c r="X153" i="10" s="1"/>
  <c r="X154" i="10" s="1"/>
  <c r="X155" i="10" s="1"/>
  <c r="X156" i="10" s="1"/>
  <c r="X157" i="10" s="1"/>
  <c r="X158" i="10" s="1"/>
  <c r="X159" i="10" s="1"/>
  <c r="X160" i="10" s="1"/>
  <c r="X161" i="10" s="1"/>
  <c r="X162" i="10" s="1"/>
  <c r="X163" i="10" s="1"/>
  <c r="X164" i="10" s="1"/>
  <c r="X165" i="10" s="1"/>
  <c r="X166" i="10" s="1"/>
  <c r="X167" i="10" s="1"/>
  <c r="X168" i="10" s="1"/>
  <c r="X169" i="10" s="1"/>
  <c r="X170" i="10" s="1"/>
  <c r="X171" i="10" s="1"/>
  <c r="X172" i="10" s="1"/>
  <c r="X173" i="10" s="1"/>
  <c r="X174" i="10" s="1"/>
  <c r="X175" i="10" s="1"/>
  <c r="X176" i="10" s="1"/>
  <c r="X177" i="10" s="1"/>
  <c r="X178" i="10" s="1"/>
  <c r="X179" i="10" s="1"/>
  <c r="X180" i="10" s="1"/>
  <c r="X181" i="10" s="1"/>
  <c r="X182" i="10" s="1"/>
  <c r="X183" i="10" s="1"/>
  <c r="W144" i="10"/>
  <c r="W145" i="10" s="1"/>
  <c r="W146" i="10" s="1"/>
  <c r="W147" i="10" s="1"/>
  <c r="W148" i="10" s="1"/>
  <c r="W149" i="10" s="1"/>
  <c r="W150" i="10" s="1"/>
  <c r="W151" i="10" s="1"/>
  <c r="W152" i="10" s="1"/>
  <c r="W153" i="10" s="1"/>
  <c r="W154" i="10" s="1"/>
  <c r="W155" i="10" s="1"/>
  <c r="W156" i="10" s="1"/>
  <c r="W157" i="10" s="1"/>
  <c r="W158" i="10" s="1"/>
  <c r="W159" i="10" s="1"/>
  <c r="W160" i="10" s="1"/>
  <c r="W161" i="10" s="1"/>
  <c r="W162" i="10" s="1"/>
  <c r="W163" i="10" s="1"/>
  <c r="W164" i="10" s="1"/>
  <c r="W165" i="10" s="1"/>
  <c r="W166" i="10" s="1"/>
  <c r="W167" i="10" s="1"/>
  <c r="W168" i="10" s="1"/>
  <c r="W169" i="10" s="1"/>
  <c r="W170" i="10" s="1"/>
  <c r="W171" i="10" s="1"/>
  <c r="W172" i="10" s="1"/>
  <c r="W173" i="10" s="1"/>
  <c r="W174" i="10" s="1"/>
  <c r="W175" i="10" s="1"/>
  <c r="W176" i="10" s="1"/>
  <c r="W177" i="10" s="1"/>
  <c r="W178" i="10" s="1"/>
  <c r="W179" i="10" s="1"/>
  <c r="W180" i="10" s="1"/>
  <c r="W181" i="10" s="1"/>
  <c r="W182" i="10" s="1"/>
  <c r="W183" i="10" s="1"/>
  <c r="Y97" i="10"/>
  <c r="Y98" i="10" s="1"/>
  <c r="Y99" i="10" s="1"/>
  <c r="Y100" i="10" s="1"/>
  <c r="Y101" i="10" s="1"/>
  <c r="Y102" i="10" s="1"/>
  <c r="Y103" i="10" s="1"/>
  <c r="Y104" i="10" s="1"/>
  <c r="Y105" i="10" s="1"/>
  <c r="Y106" i="10" s="1"/>
  <c r="Y107" i="10" s="1"/>
  <c r="Y108" i="10" s="1"/>
  <c r="Y109" i="10" s="1"/>
  <c r="Y110" i="10" s="1"/>
  <c r="Y111" i="10" s="1"/>
  <c r="Y112" i="10" s="1"/>
  <c r="Y113" i="10" s="1"/>
  <c r="Y114" i="10" s="1"/>
  <c r="Y115" i="10" s="1"/>
  <c r="Y116" i="10" s="1"/>
  <c r="Y117" i="10" s="1"/>
  <c r="Y118" i="10" s="1"/>
  <c r="Y119" i="10" s="1"/>
  <c r="Y120" i="10" s="1"/>
  <c r="Y121" i="10" s="1"/>
  <c r="Y122" i="10" s="1"/>
  <c r="Y123" i="10" s="1"/>
  <c r="Y124" i="10" s="1"/>
  <c r="Y125" i="10" s="1"/>
  <c r="Y126" i="10" s="1"/>
  <c r="Y127" i="10" s="1"/>
  <c r="Y128" i="10" s="1"/>
  <c r="Y129" i="10" s="1"/>
  <c r="Y130" i="10" s="1"/>
  <c r="Y131" i="10" s="1"/>
  <c r="Y132" i="10" s="1"/>
  <c r="Y133" i="10" s="1"/>
  <c r="Y134" i="10" s="1"/>
  <c r="Y135" i="10" s="1"/>
  <c r="Y136" i="10" s="1"/>
  <c r="X97" i="10"/>
  <c r="X98" i="10" s="1"/>
  <c r="X99" i="10" s="1"/>
  <c r="X100" i="10" s="1"/>
  <c r="X101" i="10" s="1"/>
  <c r="X102" i="10" s="1"/>
  <c r="X103" i="10" s="1"/>
  <c r="X104" i="10" s="1"/>
  <c r="X105" i="10" s="1"/>
  <c r="X106" i="10" s="1"/>
  <c r="X107" i="10" s="1"/>
  <c r="X108" i="10" s="1"/>
  <c r="X109" i="10" s="1"/>
  <c r="X110" i="10" s="1"/>
  <c r="X111" i="10" s="1"/>
  <c r="X112" i="10" s="1"/>
  <c r="X113" i="10" s="1"/>
  <c r="X114" i="10" s="1"/>
  <c r="X115" i="10" s="1"/>
  <c r="X116" i="10" s="1"/>
  <c r="X117" i="10" s="1"/>
  <c r="X118" i="10" s="1"/>
  <c r="X119" i="10" s="1"/>
  <c r="X120" i="10" s="1"/>
  <c r="X121" i="10" s="1"/>
  <c r="X122" i="10" s="1"/>
  <c r="X123" i="10" s="1"/>
  <c r="X124" i="10" s="1"/>
  <c r="X125" i="10" s="1"/>
  <c r="X126" i="10" s="1"/>
  <c r="X127" i="10" s="1"/>
  <c r="X128" i="10" s="1"/>
  <c r="X129" i="10" s="1"/>
  <c r="X130" i="10" s="1"/>
  <c r="X131" i="10" s="1"/>
  <c r="X132" i="10" s="1"/>
  <c r="X133" i="10" s="1"/>
  <c r="X134" i="10" s="1"/>
  <c r="X135" i="10" s="1"/>
  <c r="X136" i="10" s="1"/>
  <c r="W97" i="10"/>
  <c r="W98" i="10" s="1"/>
  <c r="W99" i="10" s="1"/>
  <c r="W100" i="10" s="1"/>
  <c r="W101" i="10" s="1"/>
  <c r="W102" i="10" s="1"/>
  <c r="W103" i="10" s="1"/>
  <c r="W104" i="10" s="1"/>
  <c r="W105" i="10" s="1"/>
  <c r="W106" i="10" s="1"/>
  <c r="W107" i="10" s="1"/>
  <c r="W108" i="10" s="1"/>
  <c r="W109" i="10" s="1"/>
  <c r="W110" i="10" s="1"/>
  <c r="W111" i="10" s="1"/>
  <c r="W112" i="10" s="1"/>
  <c r="W113" i="10" s="1"/>
  <c r="W114" i="10" s="1"/>
  <c r="W115" i="10" s="1"/>
  <c r="W116" i="10" s="1"/>
  <c r="W117" i="10" s="1"/>
  <c r="W118" i="10" s="1"/>
  <c r="W119" i="10" s="1"/>
  <c r="W120" i="10" s="1"/>
  <c r="W121" i="10" s="1"/>
  <c r="W122" i="10" s="1"/>
  <c r="W123" i="10" s="1"/>
  <c r="W124" i="10" s="1"/>
  <c r="W125" i="10" s="1"/>
  <c r="W126" i="10" s="1"/>
  <c r="W127" i="10" s="1"/>
  <c r="W128" i="10" s="1"/>
  <c r="W129" i="10" s="1"/>
  <c r="W130" i="10" s="1"/>
  <c r="W131" i="10" s="1"/>
  <c r="W132" i="10" s="1"/>
  <c r="W133" i="10" s="1"/>
  <c r="W134" i="10" s="1"/>
  <c r="W135" i="10" s="1"/>
  <c r="W136" i="10" s="1"/>
  <c r="Y51" i="10"/>
  <c r="Y52" i="10" s="1"/>
  <c r="Y53" i="10" s="1"/>
  <c r="Y54" i="10" s="1"/>
  <c r="Y55" i="10" s="1"/>
  <c r="Y56" i="10" s="1"/>
  <c r="Y57" i="10" s="1"/>
  <c r="Y58" i="10" s="1"/>
  <c r="Y59" i="10" s="1"/>
  <c r="Y60" i="10" s="1"/>
  <c r="Y61" i="10" s="1"/>
  <c r="Y62" i="10" s="1"/>
  <c r="Y63" i="10" s="1"/>
  <c r="Y64" i="10" s="1"/>
  <c r="Y65" i="10" s="1"/>
  <c r="Y66" i="10" s="1"/>
  <c r="Y67" i="10" s="1"/>
  <c r="Y68" i="10" s="1"/>
  <c r="Y69" i="10" s="1"/>
  <c r="Y70" i="10" s="1"/>
  <c r="Y71" i="10" s="1"/>
  <c r="Y72" i="10" s="1"/>
  <c r="Y73" i="10" s="1"/>
  <c r="Y74" i="10" s="1"/>
  <c r="Y75" i="10" s="1"/>
  <c r="Y76" i="10" s="1"/>
  <c r="Y77" i="10" s="1"/>
  <c r="Y78" i="10" s="1"/>
  <c r="Y79" i="10" s="1"/>
  <c r="Y80" i="10" s="1"/>
  <c r="Y81" i="10" s="1"/>
  <c r="Y82" i="10" s="1"/>
  <c r="Y83" i="10" s="1"/>
  <c r="Y84" i="10" s="1"/>
  <c r="Y85" i="10" s="1"/>
  <c r="Y86" i="10" s="1"/>
  <c r="Y87" i="10" s="1"/>
  <c r="Y88" i="10" s="1"/>
  <c r="Y89" i="10" s="1"/>
  <c r="Y90" i="10" s="1"/>
  <c r="X51" i="10"/>
  <c r="X52" i="10" s="1"/>
  <c r="X53" i="10" s="1"/>
  <c r="X54" i="10" s="1"/>
  <c r="X55" i="10" s="1"/>
  <c r="X56" i="10" s="1"/>
  <c r="X57" i="10" s="1"/>
  <c r="X58" i="10" s="1"/>
  <c r="X59" i="10" s="1"/>
  <c r="X60" i="10" s="1"/>
  <c r="X61" i="10" s="1"/>
  <c r="X62" i="10" s="1"/>
  <c r="X63" i="10" s="1"/>
  <c r="X64" i="10" s="1"/>
  <c r="X65" i="10" s="1"/>
  <c r="X66" i="10" s="1"/>
  <c r="X67" i="10" s="1"/>
  <c r="X68" i="10" s="1"/>
  <c r="X69" i="10" s="1"/>
  <c r="X70" i="10" s="1"/>
  <c r="X71" i="10" s="1"/>
  <c r="X72" i="10" s="1"/>
  <c r="X73" i="10" s="1"/>
  <c r="X74" i="10" s="1"/>
  <c r="X75" i="10" s="1"/>
  <c r="X76" i="10" s="1"/>
  <c r="X77" i="10" s="1"/>
  <c r="X78" i="10" s="1"/>
  <c r="X79" i="10" s="1"/>
  <c r="X80" i="10" s="1"/>
  <c r="X81" i="10" s="1"/>
  <c r="X82" i="10" s="1"/>
  <c r="X83" i="10" s="1"/>
  <c r="X84" i="10" s="1"/>
  <c r="X85" i="10" s="1"/>
  <c r="X86" i="10" s="1"/>
  <c r="X87" i="10" s="1"/>
  <c r="X88" i="10" s="1"/>
  <c r="X89" i="10" s="1"/>
  <c r="X90" i="10" s="1"/>
  <c r="W51" i="10"/>
  <c r="W52" i="10" s="1"/>
  <c r="W53" i="10" s="1"/>
  <c r="W54" i="10" s="1"/>
  <c r="W55" i="10" s="1"/>
  <c r="W56" i="10" s="1"/>
  <c r="W57" i="10" s="1"/>
  <c r="W58" i="10" s="1"/>
  <c r="W59" i="10" s="1"/>
  <c r="W60" i="10" s="1"/>
  <c r="W61" i="10" s="1"/>
  <c r="W62" i="10" s="1"/>
  <c r="W63" i="10" s="1"/>
  <c r="W64" i="10" s="1"/>
  <c r="W65" i="10" s="1"/>
  <c r="W66" i="10" s="1"/>
  <c r="W67" i="10" s="1"/>
  <c r="W68" i="10" s="1"/>
  <c r="W69" i="10" s="1"/>
  <c r="W70" i="10" s="1"/>
  <c r="W71" i="10" s="1"/>
  <c r="W72" i="10" s="1"/>
  <c r="W73" i="10" s="1"/>
  <c r="W74" i="10" s="1"/>
  <c r="W75" i="10" s="1"/>
  <c r="W76" i="10" s="1"/>
  <c r="W77" i="10" s="1"/>
  <c r="W78" i="10" s="1"/>
  <c r="W79" i="10" s="1"/>
  <c r="W80" i="10" s="1"/>
  <c r="W81" i="10" s="1"/>
  <c r="W82" i="10" s="1"/>
  <c r="W83" i="10" s="1"/>
  <c r="W84" i="10" s="1"/>
  <c r="W85" i="10" s="1"/>
  <c r="W86" i="10" s="1"/>
  <c r="W87" i="10" s="1"/>
  <c r="W88" i="10" s="1"/>
  <c r="W89" i="10" s="1"/>
  <c r="W90" i="10" s="1"/>
  <c r="X5" i="10"/>
  <c r="X6" i="10" s="1"/>
  <c r="X7" i="10" s="1"/>
  <c r="X8" i="10" s="1"/>
  <c r="X9" i="10" s="1"/>
  <c r="X10" i="10" s="1"/>
  <c r="X11" i="10" s="1"/>
  <c r="X12" i="10" s="1"/>
  <c r="X13" i="10" s="1"/>
  <c r="X14" i="10" s="1"/>
  <c r="X15" i="10" s="1"/>
  <c r="X16" i="10" s="1"/>
  <c r="X17" i="10" s="1"/>
  <c r="X18" i="10" s="1"/>
  <c r="X19" i="10" s="1"/>
  <c r="X20" i="10" s="1"/>
  <c r="X21" i="10" s="1"/>
  <c r="X22" i="10" s="1"/>
  <c r="X23" i="10" s="1"/>
  <c r="X24" i="10" s="1"/>
  <c r="X25" i="10" s="1"/>
  <c r="X26" i="10" s="1"/>
  <c r="X27" i="10" s="1"/>
  <c r="X28" i="10" s="1"/>
  <c r="X29" i="10" s="1"/>
  <c r="X30" i="10" s="1"/>
  <c r="X31" i="10" s="1"/>
  <c r="X32" i="10" s="1"/>
  <c r="X33" i="10" s="1"/>
  <c r="X34" i="10" s="1"/>
  <c r="X35" i="10" s="1"/>
  <c r="X36" i="10" s="1"/>
  <c r="X37" i="10" s="1"/>
  <c r="X38" i="10" s="1"/>
  <c r="X39" i="10" s="1"/>
  <c r="X40" i="10" s="1"/>
  <c r="X41" i="10" s="1"/>
  <c r="X42" i="10" s="1"/>
  <c r="X43" i="10" s="1"/>
  <c r="X44" i="10" s="1"/>
  <c r="Y5" i="10"/>
  <c r="Y6" i="10" s="1"/>
  <c r="Y7" i="10" s="1"/>
  <c r="Y8" i="10" s="1"/>
  <c r="Y9" i="10" s="1"/>
  <c r="Y10" i="10" s="1"/>
  <c r="Y11" i="10" s="1"/>
  <c r="Y12" i="10" s="1"/>
  <c r="Y13" i="10" s="1"/>
  <c r="Y14" i="10" s="1"/>
  <c r="Y15" i="10" s="1"/>
  <c r="Y16" i="10" s="1"/>
  <c r="Y17" i="10" s="1"/>
  <c r="Y18" i="10" s="1"/>
  <c r="Y19" i="10" s="1"/>
  <c r="Y20" i="10" s="1"/>
  <c r="Y21" i="10" s="1"/>
  <c r="Y22" i="10" s="1"/>
  <c r="Y23" i="10" s="1"/>
  <c r="Y24" i="10" s="1"/>
  <c r="Y25" i="10" s="1"/>
  <c r="Y26" i="10" s="1"/>
  <c r="Y27" i="10" s="1"/>
  <c r="Y28" i="10" s="1"/>
  <c r="Y29" i="10" s="1"/>
  <c r="Y30" i="10" s="1"/>
  <c r="Y31" i="10" s="1"/>
  <c r="Y32" i="10" s="1"/>
  <c r="Y33" i="10" s="1"/>
  <c r="Y34" i="10" s="1"/>
  <c r="Y35" i="10" s="1"/>
  <c r="Y36" i="10" s="1"/>
  <c r="Y37" i="10" s="1"/>
  <c r="Y38" i="10" s="1"/>
  <c r="Y39" i="10" s="1"/>
  <c r="Y40" i="10" s="1"/>
  <c r="Y41" i="10" s="1"/>
  <c r="Y42" i="10" s="1"/>
  <c r="Y43" i="10" s="1"/>
  <c r="Y44" i="10" s="1"/>
  <c r="W5" i="10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W19" i="10" s="1"/>
  <c r="W20" i="10" s="1"/>
  <c r="W21" i="10" s="1"/>
  <c r="W22" i="10" s="1"/>
  <c r="W23" i="10" s="1"/>
  <c r="W24" i="10" s="1"/>
  <c r="W25" i="10" s="1"/>
  <c r="W26" i="10" s="1"/>
  <c r="W27" i="10" s="1"/>
  <c r="W28" i="10" s="1"/>
  <c r="W29" i="10" s="1"/>
  <c r="W30" i="10" s="1"/>
  <c r="W31" i="10" s="1"/>
  <c r="W32" i="10" s="1"/>
  <c r="W33" i="10" s="1"/>
  <c r="W34" i="10" s="1"/>
  <c r="W35" i="10" s="1"/>
  <c r="W36" i="10" s="1"/>
  <c r="W37" i="10" s="1"/>
  <c r="W38" i="10" s="1"/>
  <c r="W39" i="10" s="1"/>
  <c r="W40" i="10" s="1"/>
  <c r="W41" i="10" s="1"/>
  <c r="W42" i="10" s="1"/>
  <c r="W43" i="10" s="1"/>
  <c r="W44" i="10" s="1"/>
  <c r="Z144" i="10"/>
  <c r="Z145" i="10" s="1"/>
  <c r="Z146" i="10" s="1"/>
  <c r="Z147" i="10" s="1"/>
  <c r="Z148" i="10" s="1"/>
  <c r="Z149" i="10" s="1"/>
  <c r="Z150" i="10" s="1"/>
  <c r="Z151" i="10" s="1"/>
  <c r="Z152" i="10" s="1"/>
  <c r="Z153" i="10" s="1"/>
  <c r="Z154" i="10" s="1"/>
  <c r="Z155" i="10" s="1"/>
  <c r="Z156" i="10" s="1"/>
  <c r="Z157" i="10" s="1"/>
  <c r="Z158" i="10" s="1"/>
  <c r="Z159" i="10" s="1"/>
  <c r="Z160" i="10" s="1"/>
  <c r="Z161" i="10" s="1"/>
  <c r="Z162" i="10" s="1"/>
  <c r="Z163" i="10" s="1"/>
  <c r="Z164" i="10" s="1"/>
  <c r="Z165" i="10" s="1"/>
  <c r="Z166" i="10" s="1"/>
  <c r="Z167" i="10" s="1"/>
  <c r="Z168" i="10" s="1"/>
  <c r="Z169" i="10" s="1"/>
  <c r="Z170" i="10" s="1"/>
  <c r="Z171" i="10" s="1"/>
  <c r="Z172" i="10" s="1"/>
  <c r="Z173" i="10" s="1"/>
  <c r="Z174" i="10" s="1"/>
  <c r="Z175" i="10" s="1"/>
  <c r="Z176" i="10" s="1"/>
  <c r="Z177" i="10" s="1"/>
  <c r="Z178" i="10" s="1"/>
  <c r="Z179" i="10" s="1"/>
  <c r="Z180" i="10" s="1"/>
  <c r="Z181" i="10" s="1"/>
  <c r="Z182" i="10" s="1"/>
  <c r="Z183" i="10" s="1"/>
  <c r="Z97" i="10"/>
  <c r="Z98" i="10" s="1"/>
  <c r="Z99" i="10" s="1"/>
  <c r="Z100" i="10" s="1"/>
  <c r="Z101" i="10" s="1"/>
  <c r="Z102" i="10" s="1"/>
  <c r="Z103" i="10" s="1"/>
  <c r="Z104" i="10" s="1"/>
  <c r="Z105" i="10" s="1"/>
  <c r="Z106" i="10" s="1"/>
  <c r="Z107" i="10" s="1"/>
  <c r="Z108" i="10" s="1"/>
  <c r="Z109" i="10" s="1"/>
  <c r="Z110" i="10" s="1"/>
  <c r="Z111" i="10" s="1"/>
  <c r="Z112" i="10" s="1"/>
  <c r="Z113" i="10" s="1"/>
  <c r="Z114" i="10" s="1"/>
  <c r="Z115" i="10" s="1"/>
  <c r="Z116" i="10" s="1"/>
  <c r="Z117" i="10" s="1"/>
  <c r="Z118" i="10" s="1"/>
  <c r="Z119" i="10" s="1"/>
  <c r="Z120" i="10" s="1"/>
  <c r="Z121" i="10" s="1"/>
  <c r="Z122" i="10" s="1"/>
  <c r="Z123" i="10" s="1"/>
  <c r="Z124" i="10" s="1"/>
  <c r="Z125" i="10" s="1"/>
  <c r="Z126" i="10" s="1"/>
  <c r="Z127" i="10" s="1"/>
  <c r="Z128" i="10" s="1"/>
  <c r="Z129" i="10" s="1"/>
  <c r="Z130" i="10" s="1"/>
  <c r="Z131" i="10" s="1"/>
  <c r="Z132" i="10" s="1"/>
  <c r="Z133" i="10" s="1"/>
  <c r="Z134" i="10" s="1"/>
  <c r="Z135" i="10" s="1"/>
  <c r="Z136" i="10" s="1"/>
  <c r="Z51" i="10"/>
  <c r="Z52" i="10" s="1"/>
  <c r="Z53" i="10" s="1"/>
  <c r="Z54" i="10" s="1"/>
  <c r="Z55" i="10" s="1"/>
  <c r="Z56" i="10" s="1"/>
  <c r="Z57" i="10" s="1"/>
  <c r="Z58" i="10" s="1"/>
  <c r="Z59" i="10" s="1"/>
  <c r="Z60" i="10" s="1"/>
  <c r="Z61" i="10" s="1"/>
  <c r="Z62" i="10" s="1"/>
  <c r="Z63" i="10" s="1"/>
  <c r="Z64" i="10" s="1"/>
  <c r="Z65" i="10" s="1"/>
  <c r="Z66" i="10" s="1"/>
  <c r="Z67" i="10" s="1"/>
  <c r="Z68" i="10" s="1"/>
  <c r="Z69" i="10" s="1"/>
  <c r="Z70" i="10" s="1"/>
  <c r="Z71" i="10" s="1"/>
  <c r="Z72" i="10" s="1"/>
  <c r="Z73" i="10" s="1"/>
  <c r="Z74" i="10" s="1"/>
  <c r="Z75" i="10" s="1"/>
  <c r="Z76" i="10" s="1"/>
  <c r="Z77" i="10" s="1"/>
  <c r="Z78" i="10" s="1"/>
  <c r="Z79" i="10" s="1"/>
  <c r="Z80" i="10" s="1"/>
  <c r="Z81" i="10" s="1"/>
  <c r="Z82" i="10" s="1"/>
  <c r="Z83" i="10" s="1"/>
  <c r="Z84" i="10" s="1"/>
  <c r="Z85" i="10" s="1"/>
  <c r="Z86" i="10" s="1"/>
  <c r="Z87" i="10" s="1"/>
  <c r="Z88" i="10" s="1"/>
  <c r="Z89" i="10" s="1"/>
  <c r="Z90" i="10" s="1"/>
  <c r="Z5" i="10"/>
  <c r="Z6" i="10" s="1"/>
  <c r="Z7" i="10" s="1"/>
  <c r="Z8" i="10" s="1"/>
  <c r="Z9" i="10" s="1"/>
  <c r="Z10" i="10" s="1"/>
  <c r="Z11" i="10" s="1"/>
  <c r="Z12" i="10" s="1"/>
  <c r="Z13" i="10" s="1"/>
  <c r="Z14" i="10" s="1"/>
  <c r="Z15" i="10" s="1"/>
  <c r="Z16" i="10" s="1"/>
  <c r="Z17" i="10" s="1"/>
  <c r="Z18" i="10" s="1"/>
  <c r="Z19" i="10" s="1"/>
  <c r="Z20" i="10" s="1"/>
  <c r="Z21" i="10" s="1"/>
  <c r="Z22" i="10" s="1"/>
  <c r="Z23" i="10" s="1"/>
  <c r="Z24" i="10" s="1"/>
  <c r="Z25" i="10" s="1"/>
  <c r="Z26" i="10" s="1"/>
  <c r="Z27" i="10" s="1"/>
  <c r="Z28" i="10" s="1"/>
  <c r="Z29" i="10" s="1"/>
  <c r="Z30" i="10" s="1"/>
  <c r="Z31" i="10" s="1"/>
  <c r="Z32" i="10" s="1"/>
  <c r="Z33" i="10" s="1"/>
  <c r="Z34" i="10" s="1"/>
  <c r="Z35" i="10" s="1"/>
  <c r="Z36" i="10" s="1"/>
  <c r="Z37" i="10" s="1"/>
  <c r="Z38" i="10" s="1"/>
  <c r="Z39" i="10" s="1"/>
  <c r="Z40" i="10" s="1"/>
  <c r="Z41" i="10" s="1"/>
  <c r="Z42" i="10" s="1"/>
  <c r="Z43" i="10" s="1"/>
  <c r="Z44" i="10" s="1"/>
  <c r="U52" i="10"/>
  <c r="S8" i="10"/>
  <c r="P6" i="10"/>
  <c r="G6" i="10"/>
  <c r="J5" i="10"/>
  <c r="Q5" i="10" s="1"/>
  <c r="U6" i="10" s="1"/>
  <c r="G53" i="10"/>
  <c r="G147" i="10"/>
  <c r="P56" i="10"/>
  <c r="S58" i="10"/>
  <c r="P57" i="10"/>
  <c r="S59" i="10"/>
  <c r="S13" i="10"/>
  <c r="U97" i="10"/>
  <c r="P146" i="10"/>
  <c r="S148" i="10"/>
  <c r="G101" i="10"/>
  <c r="P100" i="10"/>
  <c r="I97" i="10"/>
  <c r="I144" i="10"/>
  <c r="P55" i="10"/>
  <c r="V144" i="10"/>
  <c r="V145" i="10" s="1"/>
  <c r="V146" i="10" s="1"/>
  <c r="V147" i="10" s="1"/>
  <c r="V148" i="10" s="1"/>
  <c r="V149" i="10" s="1"/>
  <c r="V150" i="10" s="1"/>
  <c r="V151" i="10" s="1"/>
  <c r="V152" i="10" s="1"/>
  <c r="V153" i="10" s="1"/>
  <c r="V154" i="10" s="1"/>
  <c r="V155" i="10" s="1"/>
  <c r="V156" i="10" s="1"/>
  <c r="V157" i="10" s="1"/>
  <c r="V158" i="10" s="1"/>
  <c r="V159" i="10" s="1"/>
  <c r="V160" i="10" s="1"/>
  <c r="V161" i="10" s="1"/>
  <c r="V162" i="10" s="1"/>
  <c r="V163" i="10" s="1"/>
  <c r="V164" i="10" s="1"/>
  <c r="V165" i="10" s="1"/>
  <c r="V166" i="10" s="1"/>
  <c r="V167" i="10" s="1"/>
  <c r="V168" i="10" s="1"/>
  <c r="V169" i="10" s="1"/>
  <c r="V170" i="10" s="1"/>
  <c r="V171" i="10" s="1"/>
  <c r="V172" i="10" s="1"/>
  <c r="V173" i="10" s="1"/>
  <c r="V174" i="10" s="1"/>
  <c r="V175" i="10" s="1"/>
  <c r="V176" i="10" s="1"/>
  <c r="V177" i="10" s="1"/>
  <c r="V178" i="10" s="1"/>
  <c r="V179" i="10" s="1"/>
  <c r="V180" i="10" s="1"/>
  <c r="V181" i="10" s="1"/>
  <c r="V182" i="10" s="1"/>
  <c r="V183" i="10" s="1"/>
  <c r="V51" i="10"/>
  <c r="V52" i="10" s="1"/>
  <c r="V53" i="10" s="1"/>
  <c r="V54" i="10" s="1"/>
  <c r="V55" i="10" s="1"/>
  <c r="V56" i="10" s="1"/>
  <c r="V57" i="10" s="1"/>
  <c r="V58" i="10" s="1"/>
  <c r="V59" i="10" s="1"/>
  <c r="V60" i="10" s="1"/>
  <c r="V61" i="10" s="1"/>
  <c r="V62" i="10" s="1"/>
  <c r="V63" i="10" s="1"/>
  <c r="V64" i="10" s="1"/>
  <c r="V65" i="10" s="1"/>
  <c r="V66" i="10" s="1"/>
  <c r="V67" i="10" s="1"/>
  <c r="V68" i="10" s="1"/>
  <c r="V69" i="10" s="1"/>
  <c r="V70" i="10" s="1"/>
  <c r="V71" i="10" s="1"/>
  <c r="V72" i="10" s="1"/>
  <c r="V73" i="10" s="1"/>
  <c r="V74" i="10" s="1"/>
  <c r="V75" i="10" s="1"/>
  <c r="V76" i="10" s="1"/>
  <c r="V77" i="10" s="1"/>
  <c r="V78" i="10" s="1"/>
  <c r="V79" i="10" s="1"/>
  <c r="V80" i="10" s="1"/>
  <c r="V81" i="10" s="1"/>
  <c r="V82" i="10" s="1"/>
  <c r="V83" i="10" s="1"/>
  <c r="V84" i="10" s="1"/>
  <c r="V85" i="10" s="1"/>
  <c r="V86" i="10" s="1"/>
  <c r="V87" i="10" s="1"/>
  <c r="V88" i="10" s="1"/>
  <c r="V89" i="10" s="1"/>
  <c r="V90" i="10" s="1"/>
  <c r="P101" i="10"/>
  <c r="P147" i="10"/>
  <c r="P99" i="10"/>
  <c r="T104" i="10"/>
  <c r="T151" i="10"/>
  <c r="AB51" i="10" l="1"/>
  <c r="AC51" i="10" s="1"/>
  <c r="AB6" i="10"/>
  <c r="P58" i="10"/>
  <c r="S60" i="10"/>
  <c r="U53" i="10"/>
  <c r="AB52" i="10"/>
  <c r="AC52" i="10" s="1"/>
  <c r="AB97" i="10"/>
  <c r="AC97" i="10" s="1"/>
  <c r="U98" i="10"/>
  <c r="AB5" i="10"/>
  <c r="AC5" i="10" s="1"/>
  <c r="T152" i="10"/>
  <c r="G148" i="10"/>
  <c r="S15" i="10"/>
  <c r="J97" i="10"/>
  <c r="Q97" i="10" s="1"/>
  <c r="I98" i="10"/>
  <c r="S61" i="10"/>
  <c r="P59" i="10"/>
  <c r="J6" i="10"/>
  <c r="Q6" i="10" s="1"/>
  <c r="U7" i="10" s="1"/>
  <c r="G7" i="10"/>
  <c r="P148" i="10"/>
  <c r="I145" i="10"/>
  <c r="J144" i="10"/>
  <c r="Q144" i="10" s="1"/>
  <c r="U145" i="10" s="1"/>
  <c r="I69" i="10"/>
  <c r="J68" i="10"/>
  <c r="G54" i="10"/>
  <c r="J53" i="10"/>
  <c r="Q53" i="10" s="1"/>
  <c r="T105" i="10"/>
  <c r="G102" i="10"/>
  <c r="AB144" i="10"/>
  <c r="AC144" i="10" s="1"/>
  <c r="S10" i="10"/>
  <c r="P8" i="10"/>
  <c r="P9" i="10"/>
  <c r="I23" i="10"/>
  <c r="J22" i="10"/>
  <c r="AB7" i="10" l="1"/>
  <c r="AC7" i="10" s="1"/>
  <c r="J23" i="10"/>
  <c r="I24" i="10"/>
  <c r="P60" i="10"/>
  <c r="S62" i="10"/>
  <c r="T153" i="10"/>
  <c r="U54" i="10"/>
  <c r="AB53" i="10"/>
  <c r="AC53" i="10" s="1"/>
  <c r="I146" i="10"/>
  <c r="J145" i="10"/>
  <c r="Q145" i="10" s="1"/>
  <c r="S17" i="10"/>
  <c r="G8" i="10"/>
  <c r="J7" i="10"/>
  <c r="Q7" i="10" s="1"/>
  <c r="U8" i="10" s="1"/>
  <c r="G55" i="10"/>
  <c r="J54" i="10"/>
  <c r="Q54" i="10" s="1"/>
  <c r="J98" i="10"/>
  <c r="Q98" i="10" s="1"/>
  <c r="U99" i="10" s="1"/>
  <c r="I99" i="10"/>
  <c r="I70" i="10"/>
  <c r="J69" i="10"/>
  <c r="U146" i="10"/>
  <c r="AB145" i="10"/>
  <c r="AC145" i="10" s="1"/>
  <c r="G103" i="10"/>
  <c r="AC6" i="10"/>
  <c r="T106" i="10"/>
  <c r="AB98" i="10"/>
  <c r="AC98" i="10" s="1"/>
  <c r="S63" i="10"/>
  <c r="P61" i="10"/>
  <c r="S12" i="10"/>
  <c r="P10" i="10"/>
  <c r="P11" i="10"/>
  <c r="G149" i="10"/>
  <c r="F6" i="1"/>
  <c r="AB99" i="10" l="1"/>
  <c r="AC99" i="10" s="1"/>
  <c r="AB8" i="10"/>
  <c r="AC8" i="10" s="1"/>
  <c r="T107" i="10"/>
  <c r="S64" i="10"/>
  <c r="P62" i="10"/>
  <c r="G104" i="10"/>
  <c r="S19" i="10"/>
  <c r="I25" i="10"/>
  <c r="J24" i="10"/>
  <c r="I100" i="10"/>
  <c r="J99" i="10"/>
  <c r="Q99" i="10" s="1"/>
  <c r="U100" i="10" s="1"/>
  <c r="G56" i="10"/>
  <c r="J55" i="10"/>
  <c r="Q55" i="10" s="1"/>
  <c r="G150" i="10"/>
  <c r="U147" i="10"/>
  <c r="AB146" i="10"/>
  <c r="AC146" i="10" s="1"/>
  <c r="U55" i="10"/>
  <c r="AB54" i="10"/>
  <c r="AC54" i="10" s="1"/>
  <c r="T154" i="10"/>
  <c r="I147" i="10"/>
  <c r="J146" i="10"/>
  <c r="Q146" i="10" s="1"/>
  <c r="G9" i="10"/>
  <c r="J8" i="10"/>
  <c r="Q8" i="10" s="1"/>
  <c r="U9" i="10" s="1"/>
  <c r="S14" i="10"/>
  <c r="P12" i="10"/>
  <c r="P13" i="10"/>
  <c r="S65" i="10"/>
  <c r="P63" i="10"/>
  <c r="I71" i="10"/>
  <c r="J70" i="10"/>
  <c r="AB100" i="10" l="1"/>
  <c r="AC100" i="10" s="1"/>
  <c r="AB9" i="10"/>
  <c r="AC9" i="10" s="1"/>
  <c r="G105" i="10"/>
  <c r="G151" i="10"/>
  <c r="S66" i="10"/>
  <c r="P64" i="10"/>
  <c r="I101" i="10"/>
  <c r="J100" i="10"/>
  <c r="Q100" i="10" s="1"/>
  <c r="U101" i="10" s="1"/>
  <c r="AB147" i="10"/>
  <c r="AC147" i="10" s="1"/>
  <c r="P14" i="10"/>
  <c r="S16" i="10"/>
  <c r="P15" i="10"/>
  <c r="J71" i="10"/>
  <c r="I72" i="10"/>
  <c r="T155" i="10"/>
  <c r="I26" i="10"/>
  <c r="J25" i="10"/>
  <c r="AB55" i="10"/>
  <c r="AC55" i="10" s="1"/>
  <c r="U56" i="10"/>
  <c r="J9" i="10"/>
  <c r="Q9" i="10" s="1"/>
  <c r="U10" i="10" s="1"/>
  <c r="G10" i="10"/>
  <c r="G57" i="10"/>
  <c r="J56" i="10"/>
  <c r="Q56" i="10" s="1"/>
  <c r="I148" i="10"/>
  <c r="J147" i="10"/>
  <c r="Q147" i="10" s="1"/>
  <c r="U148" i="10" s="1"/>
  <c r="T108" i="10"/>
  <c r="P65" i="10"/>
  <c r="S67" i="10"/>
  <c r="S21" i="10"/>
  <c r="D13" i="4"/>
  <c r="AB101" i="10" l="1"/>
  <c r="AC101" i="10" s="1"/>
  <c r="AB10" i="10"/>
  <c r="AC10" i="10" s="1"/>
  <c r="AB148" i="10"/>
  <c r="AC148" i="10" s="1"/>
  <c r="G152" i="10"/>
  <c r="G106" i="10"/>
  <c r="I102" i="10"/>
  <c r="J101" i="10"/>
  <c r="Q101" i="10" s="1"/>
  <c r="U102" i="10" s="1"/>
  <c r="P16" i="10"/>
  <c r="S18" i="10"/>
  <c r="P17" i="10"/>
  <c r="T156" i="10"/>
  <c r="I149" i="10"/>
  <c r="J148" i="10"/>
  <c r="Q148" i="10" s="1"/>
  <c r="U149" i="10" s="1"/>
  <c r="G11" i="10"/>
  <c r="J10" i="10"/>
  <c r="Q10" i="10" s="1"/>
  <c r="U11" i="10" s="1"/>
  <c r="S68" i="10"/>
  <c r="P66" i="10"/>
  <c r="G58" i="10"/>
  <c r="J57" i="10"/>
  <c r="Q57" i="10" s="1"/>
  <c r="S23" i="10"/>
  <c r="U57" i="10"/>
  <c r="AB56" i="10"/>
  <c r="AC56" i="10" s="1"/>
  <c r="I27" i="10"/>
  <c r="J26" i="10"/>
  <c r="I73" i="10"/>
  <c r="J72" i="10"/>
  <c r="S69" i="10"/>
  <c r="P67" i="10"/>
  <c r="Q67" i="10" s="1"/>
  <c r="T109" i="10"/>
  <c r="AB102" i="10" l="1"/>
  <c r="AC102" i="10" s="1"/>
  <c r="AB11" i="10"/>
  <c r="AC11" i="10" s="1"/>
  <c r="U150" i="10"/>
  <c r="AB149" i="10"/>
  <c r="AC149" i="10" s="1"/>
  <c r="G107" i="10"/>
  <c r="J27" i="10"/>
  <c r="I28" i="10"/>
  <c r="G12" i="10"/>
  <c r="J11" i="10"/>
  <c r="Q11" i="10" s="1"/>
  <c r="U12" i="10" s="1"/>
  <c r="I150" i="10"/>
  <c r="J149" i="10"/>
  <c r="Q149" i="10" s="1"/>
  <c r="T110" i="10"/>
  <c r="J58" i="10"/>
  <c r="Q58" i="10" s="1"/>
  <c r="G59" i="10"/>
  <c r="G153" i="10"/>
  <c r="T157" i="10"/>
  <c r="S25" i="10"/>
  <c r="P69" i="10"/>
  <c r="Q69" i="10" s="1"/>
  <c r="S71" i="10"/>
  <c r="P18" i="10"/>
  <c r="S20" i="10"/>
  <c r="P19" i="10"/>
  <c r="I103" i="10"/>
  <c r="J102" i="10"/>
  <c r="Q102" i="10" s="1"/>
  <c r="U103" i="10" s="1"/>
  <c r="U58" i="10"/>
  <c r="AB57" i="10"/>
  <c r="AC57" i="10" s="1"/>
  <c r="I74" i="10"/>
  <c r="J73" i="10"/>
  <c r="S70" i="10"/>
  <c r="P68" i="10"/>
  <c r="Q68" i="10" s="1"/>
  <c r="AB103" i="10" l="1"/>
  <c r="AC103" i="10" s="1"/>
  <c r="AB12" i="10"/>
  <c r="AC12" i="10" s="1"/>
  <c r="I104" i="10"/>
  <c r="J103" i="10"/>
  <c r="Q103" i="10" s="1"/>
  <c r="U104" i="10" s="1"/>
  <c r="AB150" i="10"/>
  <c r="AC150" i="10" s="1"/>
  <c r="S73" i="10"/>
  <c r="P71" i="10"/>
  <c r="Q71" i="10" s="1"/>
  <c r="T111" i="10"/>
  <c r="J12" i="10"/>
  <c r="Q12" i="10" s="1"/>
  <c r="U13" i="10" s="1"/>
  <c r="G13" i="10"/>
  <c r="G108" i="10"/>
  <c r="G60" i="10"/>
  <c r="J59" i="10"/>
  <c r="Q59" i="10" s="1"/>
  <c r="I75" i="10"/>
  <c r="J74" i="10"/>
  <c r="U59" i="10"/>
  <c r="AB58" i="10"/>
  <c r="AC58" i="10" s="1"/>
  <c r="T158" i="10"/>
  <c r="G154" i="10"/>
  <c r="P20" i="10"/>
  <c r="S22" i="10"/>
  <c r="P21" i="10"/>
  <c r="Q21" i="10" s="1"/>
  <c r="P70" i="10"/>
  <c r="Q70" i="10" s="1"/>
  <c r="S72" i="10"/>
  <c r="S27" i="10"/>
  <c r="J28" i="10"/>
  <c r="I29" i="10"/>
  <c r="I151" i="10"/>
  <c r="J150" i="10"/>
  <c r="Q150" i="10" s="1"/>
  <c r="U151" i="10" s="1"/>
  <c r="D12" i="4"/>
  <c r="AB13" i="10" l="1"/>
  <c r="AC13" i="10" s="1"/>
  <c r="AB151" i="10"/>
  <c r="AC151" i="10" s="1"/>
  <c r="AB104" i="10"/>
  <c r="AC104" i="10" s="1"/>
  <c r="U60" i="10"/>
  <c r="AB59" i="10"/>
  <c r="AC59" i="10" s="1"/>
  <c r="J60" i="10"/>
  <c r="Q60" i="10" s="1"/>
  <c r="G61" i="10"/>
  <c r="G155" i="10"/>
  <c r="J13" i="10"/>
  <c r="Q13" i="10" s="1"/>
  <c r="U14" i="10" s="1"/>
  <c r="G14" i="10"/>
  <c r="I105" i="10"/>
  <c r="J104" i="10"/>
  <c r="Q104" i="10" s="1"/>
  <c r="U105" i="10" s="1"/>
  <c r="S74" i="10"/>
  <c r="P72" i="10"/>
  <c r="Q72" i="10" s="1"/>
  <c r="S29" i="10"/>
  <c r="T112" i="10"/>
  <c r="I76" i="10"/>
  <c r="J75" i="10"/>
  <c r="G109" i="10"/>
  <c r="T159" i="10"/>
  <c r="S75" i="10"/>
  <c r="P73" i="10"/>
  <c r="Q73" i="10" s="1"/>
  <c r="S24" i="10"/>
  <c r="P22" i="10"/>
  <c r="Q22" i="10" s="1"/>
  <c r="P23" i="10"/>
  <c r="Q23" i="10" s="1"/>
  <c r="I152" i="10"/>
  <c r="J151" i="10"/>
  <c r="Q151" i="10" s="1"/>
  <c r="U152" i="10" s="1"/>
  <c r="J29" i="10"/>
  <c r="I30" i="10"/>
  <c r="AB14" i="10" l="1"/>
  <c r="AC14" i="10" s="1"/>
  <c r="AB105" i="10"/>
  <c r="AC105" i="10" s="1"/>
  <c r="AB152" i="10"/>
  <c r="AC152" i="10" s="1"/>
  <c r="T160" i="10"/>
  <c r="S31" i="10"/>
  <c r="I31" i="10"/>
  <c r="J30" i="10"/>
  <c r="G110" i="10"/>
  <c r="S76" i="10"/>
  <c r="P74" i="10"/>
  <c r="Q74" i="10" s="1"/>
  <c r="T113" i="10"/>
  <c r="U61" i="10"/>
  <c r="AB60" i="10"/>
  <c r="AC60" i="10" s="1"/>
  <c r="I153" i="10"/>
  <c r="J152" i="10"/>
  <c r="Q152" i="10" s="1"/>
  <c r="U153" i="10" s="1"/>
  <c r="G156" i="10"/>
  <c r="G62" i="10"/>
  <c r="J61" i="10"/>
  <c r="Q61" i="10" s="1"/>
  <c r="J76" i="10"/>
  <c r="I77" i="10"/>
  <c r="I106" i="10"/>
  <c r="J105" i="10"/>
  <c r="Q105" i="10" s="1"/>
  <c r="U106" i="10" s="1"/>
  <c r="P24" i="10"/>
  <c r="Q24" i="10" s="1"/>
  <c r="S26" i="10"/>
  <c r="P25" i="10"/>
  <c r="Q25" i="10" s="1"/>
  <c r="J14" i="10"/>
  <c r="Q14" i="10" s="1"/>
  <c r="U15" i="10" s="1"/>
  <c r="G15" i="10"/>
  <c r="S77" i="10"/>
  <c r="P75" i="10"/>
  <c r="Q75" i="10"/>
  <c r="F2" i="1"/>
  <c r="F7" i="1" s="1"/>
  <c r="G9" i="4"/>
  <c r="G10" i="4"/>
  <c r="D11" i="4"/>
  <c r="AB153" i="10" l="1"/>
  <c r="AC153" i="10" s="1"/>
  <c r="AB106" i="10"/>
  <c r="AC106" i="10" s="1"/>
  <c r="AB15" i="10"/>
  <c r="AC15" i="10" s="1"/>
  <c r="S33" i="10"/>
  <c r="I107" i="10"/>
  <c r="J106" i="10"/>
  <c r="Q106" i="10" s="1"/>
  <c r="U107" i="10" s="1"/>
  <c r="Q76" i="10"/>
  <c r="S28" i="10"/>
  <c r="P26" i="10"/>
  <c r="Q26" i="10" s="1"/>
  <c r="P27" i="10"/>
  <c r="Q27" i="10" s="1"/>
  <c r="U62" i="10"/>
  <c r="AB61" i="10"/>
  <c r="AC61" i="10" s="1"/>
  <c r="S78" i="10"/>
  <c r="P76" i="10"/>
  <c r="T161" i="10"/>
  <c r="S79" i="10"/>
  <c r="P77" i="10"/>
  <c r="G63" i="10"/>
  <c r="J62" i="10"/>
  <c r="Q62" i="10" s="1"/>
  <c r="I154" i="10"/>
  <c r="J153" i="10"/>
  <c r="Q153" i="10" s="1"/>
  <c r="U154" i="10" s="1"/>
  <c r="J15" i="10"/>
  <c r="Q15" i="10" s="1"/>
  <c r="U16" i="10" s="1"/>
  <c r="G16" i="10"/>
  <c r="G111" i="10"/>
  <c r="I32" i="10"/>
  <c r="J31" i="10"/>
  <c r="T114" i="10"/>
  <c r="J77" i="10"/>
  <c r="Q77" i="10" s="1"/>
  <c r="I78" i="10"/>
  <c r="G157" i="10"/>
  <c r="D9" i="4"/>
  <c r="D10" i="4"/>
  <c r="AB154" i="10" l="1"/>
  <c r="AC154" i="10" s="1"/>
  <c r="AB16" i="10"/>
  <c r="AC16" i="10" s="1"/>
  <c r="U108" i="10"/>
  <c r="AB107" i="10"/>
  <c r="AC107" i="10" s="1"/>
  <c r="J32" i="10"/>
  <c r="I33" i="10"/>
  <c r="U63" i="10"/>
  <c r="AB62" i="10"/>
  <c r="AC62" i="10" s="1"/>
  <c r="I108" i="10"/>
  <c r="J107" i="10"/>
  <c r="Q107" i="10" s="1"/>
  <c r="S81" i="10"/>
  <c r="P79" i="10"/>
  <c r="T162" i="10"/>
  <c r="G17" i="10"/>
  <c r="J16" i="10"/>
  <c r="Q16" i="10" s="1"/>
  <c r="U17" i="10" s="1"/>
  <c r="P78" i="10"/>
  <c r="S80" i="10"/>
  <c r="G158" i="10"/>
  <c r="J63" i="10"/>
  <c r="Q63" i="10" s="1"/>
  <c r="G64" i="10"/>
  <c r="G112" i="10"/>
  <c r="I155" i="10"/>
  <c r="J154" i="10"/>
  <c r="Q154" i="10" s="1"/>
  <c r="U155" i="10" s="1"/>
  <c r="T115" i="10"/>
  <c r="S30" i="10"/>
  <c r="P28" i="10"/>
  <c r="Q28" i="10" s="1"/>
  <c r="P29" i="10"/>
  <c r="Q29" i="10" s="1"/>
  <c r="S35" i="10"/>
  <c r="J78" i="10"/>
  <c r="I79" i="10"/>
  <c r="D3" i="4"/>
  <c r="D4" i="4"/>
  <c r="D7" i="4"/>
  <c r="D8" i="4"/>
  <c r="D6" i="4"/>
  <c r="D5" i="4"/>
  <c r="AB155" i="10" l="1"/>
  <c r="AC155" i="10" s="1"/>
  <c r="AB17" i="10"/>
  <c r="AC17" i="10" s="1"/>
  <c r="Q78" i="10"/>
  <c r="U109" i="10"/>
  <c r="AB108" i="10"/>
  <c r="AC108" i="10" s="1"/>
  <c r="G159" i="10"/>
  <c r="T116" i="10"/>
  <c r="P80" i="10"/>
  <c r="S82" i="10"/>
  <c r="U64" i="10"/>
  <c r="AB63" i="10"/>
  <c r="AC63" i="10" s="1"/>
  <c r="G18" i="10"/>
  <c r="J17" i="10"/>
  <c r="Q17" i="10" s="1"/>
  <c r="U18" i="10" s="1"/>
  <c r="I156" i="10"/>
  <c r="J155" i="10"/>
  <c r="Q155" i="10" s="1"/>
  <c r="U156" i="10" s="1"/>
  <c r="T163" i="10"/>
  <c r="G65" i="10"/>
  <c r="J64" i="10"/>
  <c r="Q64" i="10" s="1"/>
  <c r="P30" i="10"/>
  <c r="Q30" i="10" s="1"/>
  <c r="S32" i="10"/>
  <c r="P31" i="10"/>
  <c r="Q31" i="10" s="1"/>
  <c r="J33" i="10"/>
  <c r="I34" i="10"/>
  <c r="S37" i="10"/>
  <c r="P81" i="10"/>
  <c r="S83" i="10"/>
  <c r="I109" i="10"/>
  <c r="J108" i="10"/>
  <c r="Q108" i="10" s="1"/>
  <c r="J79" i="10"/>
  <c r="Q79" i="10" s="1"/>
  <c r="I80" i="10"/>
  <c r="AB156" i="10" l="1"/>
  <c r="AC156" i="10" s="1"/>
  <c r="AB18" i="10"/>
  <c r="AC18" i="10" s="1"/>
  <c r="G66" i="10"/>
  <c r="J66" i="10" s="1"/>
  <c r="Q66" i="10" s="1"/>
  <c r="J65" i="10"/>
  <c r="Q65" i="10" s="1"/>
  <c r="T164" i="10"/>
  <c r="T117" i="10"/>
  <c r="I35" i="10"/>
  <c r="J34" i="10"/>
  <c r="G19" i="10"/>
  <c r="J18" i="10"/>
  <c r="Q18" i="10" s="1"/>
  <c r="U19" i="10" s="1"/>
  <c r="U65" i="10"/>
  <c r="AB64" i="10"/>
  <c r="AC64" i="10" s="1"/>
  <c r="S39" i="10"/>
  <c r="S84" i="10"/>
  <c r="P82" i="10"/>
  <c r="I157" i="10"/>
  <c r="J156" i="10"/>
  <c r="Q156" i="10" s="1"/>
  <c r="U157" i="10" s="1"/>
  <c r="AB109" i="10"/>
  <c r="AC109" i="10" s="1"/>
  <c r="I81" i="10"/>
  <c r="J80" i="10"/>
  <c r="Q80" i="10" s="1"/>
  <c r="S34" i="10"/>
  <c r="P32" i="10"/>
  <c r="Q32" i="10" s="1"/>
  <c r="P33" i="10"/>
  <c r="Q33" i="10" s="1"/>
  <c r="I110" i="10"/>
  <c r="J109" i="10"/>
  <c r="Q109" i="10" s="1"/>
  <c r="U110" i="10" s="1"/>
  <c r="S85" i="10"/>
  <c r="P83" i="10"/>
  <c r="AB19" i="10" l="1"/>
  <c r="AC19" i="10" s="1"/>
  <c r="AB157" i="10"/>
  <c r="AC157" i="10" s="1"/>
  <c r="U111" i="10"/>
  <c r="AB110" i="10"/>
  <c r="AC110" i="10" s="1"/>
  <c r="P84" i="10"/>
  <c r="S86" i="10"/>
  <c r="I36" i="10"/>
  <c r="J35" i="10"/>
  <c r="T118" i="10"/>
  <c r="I111" i="10"/>
  <c r="J110" i="10"/>
  <c r="Q110" i="10" s="1"/>
  <c r="J81" i="10"/>
  <c r="Q81" i="10" s="1"/>
  <c r="I82" i="10"/>
  <c r="U66" i="10"/>
  <c r="AB65" i="10"/>
  <c r="AC65" i="10" s="1"/>
  <c r="S36" i="10"/>
  <c r="P34" i="10"/>
  <c r="Q34" i="10" s="1"/>
  <c r="P35" i="10"/>
  <c r="T165" i="10"/>
  <c r="S41" i="10"/>
  <c r="P85" i="10"/>
  <c r="S87" i="10"/>
  <c r="I158" i="10"/>
  <c r="J157" i="10"/>
  <c r="Q157" i="10" s="1"/>
  <c r="U158" i="10" s="1"/>
  <c r="G20" i="10"/>
  <c r="J20" i="10" s="1"/>
  <c r="Q20" i="10" s="1"/>
  <c r="J19" i="10"/>
  <c r="Q19" i="10" s="1"/>
  <c r="U20" i="10" s="1"/>
  <c r="AB158" i="10" l="1"/>
  <c r="AC158" i="10" s="1"/>
  <c r="U21" i="10"/>
  <c r="AB20" i="10"/>
  <c r="AC20" i="10" s="1"/>
  <c r="Q35" i="10"/>
  <c r="AB111" i="10"/>
  <c r="AC111" i="10" s="1"/>
  <c r="T119" i="10"/>
  <c r="I37" i="10"/>
  <c r="J36" i="10"/>
  <c r="Q36" i="10" s="1"/>
  <c r="S89" i="10"/>
  <c r="P87" i="10"/>
  <c r="P36" i="10"/>
  <c r="S38" i="10"/>
  <c r="P37" i="10"/>
  <c r="P86" i="10"/>
  <c r="S88" i="10"/>
  <c r="U67" i="10"/>
  <c r="AB66" i="10"/>
  <c r="AC66" i="10" s="1"/>
  <c r="I159" i="10"/>
  <c r="J158" i="10"/>
  <c r="Q158" i="10" s="1"/>
  <c r="U159" i="10" s="1"/>
  <c r="J82" i="10"/>
  <c r="Q82" i="10" s="1"/>
  <c r="I83" i="10"/>
  <c r="I112" i="10"/>
  <c r="J111" i="10"/>
  <c r="Q111" i="10" s="1"/>
  <c r="U112" i="10" s="1"/>
  <c r="S43" i="10"/>
  <c r="T166" i="10"/>
  <c r="AB112" i="10" l="1"/>
  <c r="AC112" i="10" s="1"/>
  <c r="U160" i="10"/>
  <c r="AB159" i="10"/>
  <c r="AC159" i="10" s="1"/>
  <c r="T120" i="10"/>
  <c r="I113" i="10"/>
  <c r="J112" i="10"/>
  <c r="Q112" i="10" s="1"/>
  <c r="U113" i="10" s="1"/>
  <c r="U68" i="10"/>
  <c r="AB67" i="10"/>
  <c r="AC67" i="10" s="1"/>
  <c r="S90" i="10"/>
  <c r="P88" i="10"/>
  <c r="S40" i="10"/>
  <c r="P38" i="10"/>
  <c r="P39" i="10"/>
  <c r="U22" i="10"/>
  <c r="AB21" i="10"/>
  <c r="AC21" i="10" s="1"/>
  <c r="T167" i="10"/>
  <c r="I160" i="10"/>
  <c r="J159" i="10"/>
  <c r="Q159" i="10" s="1"/>
  <c r="I38" i="10"/>
  <c r="J37" i="10"/>
  <c r="Q37" i="10" s="1"/>
  <c r="I84" i="10"/>
  <c r="J83" i="10"/>
  <c r="Q83" i="10" s="1"/>
  <c r="P89" i="10"/>
  <c r="AB113" i="10" l="1"/>
  <c r="AC113" i="10" s="1"/>
  <c r="J160" i="10"/>
  <c r="Q160" i="10" s="1"/>
  <c r="U161" i="10" s="1"/>
  <c r="I161" i="10"/>
  <c r="P90" i="10"/>
  <c r="I114" i="10"/>
  <c r="J113" i="10"/>
  <c r="Q113" i="10" s="1"/>
  <c r="U114" i="10" s="1"/>
  <c r="U23" i="10"/>
  <c r="AB22" i="10"/>
  <c r="AC22" i="10" s="1"/>
  <c r="J84" i="10"/>
  <c r="Q84" i="10" s="1"/>
  <c r="I85" i="10"/>
  <c r="T168" i="10"/>
  <c r="T121" i="10"/>
  <c r="S42" i="10"/>
  <c r="P40" i="10"/>
  <c r="P41" i="10"/>
  <c r="J38" i="10"/>
  <c r="Q38" i="10" s="1"/>
  <c r="I39" i="10"/>
  <c r="U69" i="10"/>
  <c r="AB68" i="10"/>
  <c r="AC68" i="10" s="1"/>
  <c r="AB160" i="10"/>
  <c r="AC160" i="10" s="1"/>
  <c r="AB161" i="10" l="1"/>
  <c r="AC161" i="10" s="1"/>
  <c r="AB114" i="10"/>
  <c r="AC114" i="10" s="1"/>
  <c r="J85" i="10"/>
  <c r="Q85" i="10" s="1"/>
  <c r="I86" i="10"/>
  <c r="J161" i="10"/>
  <c r="Q161" i="10" s="1"/>
  <c r="U162" i="10" s="1"/>
  <c r="I162" i="10"/>
  <c r="J114" i="10"/>
  <c r="Q114" i="10" s="1"/>
  <c r="U115" i="10" s="1"/>
  <c r="I115" i="10"/>
  <c r="S44" i="10"/>
  <c r="P42" i="10"/>
  <c r="P43" i="10"/>
  <c r="U70" i="10"/>
  <c r="AB69" i="10"/>
  <c r="AC69" i="10" s="1"/>
  <c r="J39" i="10"/>
  <c r="Q39" i="10" s="1"/>
  <c r="I40" i="10"/>
  <c r="U24" i="10"/>
  <c r="AB23" i="10"/>
  <c r="AC23" i="10" s="1"/>
  <c r="T122" i="10"/>
  <c r="T169" i="10"/>
  <c r="AB115" i="10" l="1"/>
  <c r="AC115" i="10" s="1"/>
  <c r="AB162" i="10"/>
  <c r="AC162" i="10" s="1"/>
  <c r="I163" i="10"/>
  <c r="J162" i="10"/>
  <c r="Q162" i="10" s="1"/>
  <c r="U163" i="10" s="1"/>
  <c r="P44" i="10"/>
  <c r="I41" i="10"/>
  <c r="J40" i="10"/>
  <c r="Q40" i="10" s="1"/>
  <c r="I116" i="10"/>
  <c r="J115" i="10"/>
  <c r="Q115" i="10" s="1"/>
  <c r="U116" i="10" s="1"/>
  <c r="U71" i="10"/>
  <c r="AB70" i="10"/>
  <c r="AC70" i="10" s="1"/>
  <c r="T170" i="10"/>
  <c r="T123" i="10"/>
  <c r="U25" i="10"/>
  <c r="AB24" i="10"/>
  <c r="AC24" i="10" s="1"/>
  <c r="I87" i="10"/>
  <c r="J86" i="10"/>
  <c r="Q86" i="10" s="1"/>
  <c r="AB116" i="10" l="1"/>
  <c r="AC116" i="10" s="1"/>
  <c r="AB163" i="10"/>
  <c r="AC163" i="10" s="1"/>
  <c r="J116" i="10"/>
  <c r="Q116" i="10" s="1"/>
  <c r="U117" i="10" s="1"/>
  <c r="I117" i="10"/>
  <c r="I42" i="10"/>
  <c r="J41" i="10"/>
  <c r="Q41" i="10" s="1"/>
  <c r="T171" i="10"/>
  <c r="T124" i="10"/>
  <c r="J87" i="10"/>
  <c r="Q87" i="10" s="1"/>
  <c r="I88" i="10"/>
  <c r="U26" i="10"/>
  <c r="AB25" i="10"/>
  <c r="AC25" i="10" s="1"/>
  <c r="I164" i="10"/>
  <c r="J163" i="10"/>
  <c r="Q163" i="10" s="1"/>
  <c r="U164" i="10" s="1"/>
  <c r="U72" i="10"/>
  <c r="AB71" i="10"/>
  <c r="AC71" i="10" s="1"/>
  <c r="AB164" i="10" l="1"/>
  <c r="AC164" i="10" s="1"/>
  <c r="AB117" i="10"/>
  <c r="AC117" i="10" s="1"/>
  <c r="T125" i="10"/>
  <c r="I43" i="10"/>
  <c r="J42" i="10"/>
  <c r="Q42" i="10" s="1"/>
  <c r="U27" i="10"/>
  <c r="AB26" i="10"/>
  <c r="AC26" i="10" s="1"/>
  <c r="T172" i="10"/>
  <c r="U73" i="10"/>
  <c r="AB72" i="10"/>
  <c r="AC72" i="10" s="1"/>
  <c r="J117" i="10"/>
  <c r="Q117" i="10" s="1"/>
  <c r="U118" i="10" s="1"/>
  <c r="I118" i="10"/>
  <c r="I165" i="10"/>
  <c r="J164" i="10"/>
  <c r="Q164" i="10" s="1"/>
  <c r="U165" i="10" s="1"/>
  <c r="J88" i="10"/>
  <c r="Q88" i="10" s="1"/>
  <c r="I89" i="10"/>
  <c r="AB118" i="10" l="1"/>
  <c r="AC118" i="10" s="1"/>
  <c r="AB165" i="10"/>
  <c r="AC165" i="10" s="1"/>
  <c r="I119" i="10"/>
  <c r="J118" i="10"/>
  <c r="Q118" i="10" s="1"/>
  <c r="U119" i="10" s="1"/>
  <c r="I90" i="10"/>
  <c r="J90" i="10" s="1"/>
  <c r="Q90" i="10" s="1"/>
  <c r="J89" i="10"/>
  <c r="Q89" i="10" s="1"/>
  <c r="J43" i="10"/>
  <c r="Q43" i="10" s="1"/>
  <c r="I44" i="10"/>
  <c r="J44" i="10" s="1"/>
  <c r="Q44" i="10" s="1"/>
  <c r="J165" i="10"/>
  <c r="Q165" i="10" s="1"/>
  <c r="U166" i="10" s="1"/>
  <c r="I166" i="10"/>
  <c r="T173" i="10"/>
  <c r="U28" i="10"/>
  <c r="AB27" i="10"/>
  <c r="AC27" i="10" s="1"/>
  <c r="T126" i="10"/>
  <c r="U74" i="10"/>
  <c r="AB73" i="10"/>
  <c r="AC73" i="10" s="1"/>
  <c r="AB166" i="10" l="1"/>
  <c r="AC166" i="10" s="1"/>
  <c r="AB119" i="10"/>
  <c r="AC119" i="10" s="1"/>
  <c r="U75" i="10"/>
  <c r="AB74" i="10"/>
  <c r="AC74" i="10" s="1"/>
  <c r="J166" i="10"/>
  <c r="Q166" i="10" s="1"/>
  <c r="U167" i="10" s="1"/>
  <c r="I167" i="10"/>
  <c r="U29" i="10"/>
  <c r="AB28" i="10"/>
  <c r="AC28" i="10" s="1"/>
  <c r="T127" i="10"/>
  <c r="I120" i="10"/>
  <c r="J119" i="10"/>
  <c r="Q119" i="10" s="1"/>
  <c r="U120" i="10" s="1"/>
  <c r="T174" i="10"/>
  <c r="AB120" i="10" l="1"/>
  <c r="AC120" i="10" s="1"/>
  <c r="AB167" i="10"/>
  <c r="AC167" i="10" s="1"/>
  <c r="T128" i="10"/>
  <c r="J167" i="10"/>
  <c r="Q167" i="10" s="1"/>
  <c r="U168" i="10" s="1"/>
  <c r="I168" i="10"/>
  <c r="T175" i="10"/>
  <c r="U30" i="10"/>
  <c r="AB29" i="10"/>
  <c r="AC29" i="10" s="1"/>
  <c r="U76" i="10"/>
  <c r="AB75" i="10"/>
  <c r="AC75" i="10" s="1"/>
  <c r="J120" i="10"/>
  <c r="Q120" i="10" s="1"/>
  <c r="U121" i="10" s="1"/>
  <c r="I121" i="10"/>
  <c r="AB121" i="10" l="1"/>
  <c r="AC121" i="10" s="1"/>
  <c r="AB168" i="10"/>
  <c r="AC168" i="10" s="1"/>
  <c r="U31" i="10"/>
  <c r="AB30" i="10"/>
  <c r="AC30" i="10" s="1"/>
  <c r="J121" i="10"/>
  <c r="Q121" i="10" s="1"/>
  <c r="U122" i="10" s="1"/>
  <c r="I122" i="10"/>
  <c r="I169" i="10"/>
  <c r="J168" i="10"/>
  <c r="Q168" i="10" s="1"/>
  <c r="U169" i="10" s="1"/>
  <c r="T176" i="10"/>
  <c r="T129" i="10"/>
  <c r="U77" i="10"/>
  <c r="AB76" i="10"/>
  <c r="AC76" i="10" s="1"/>
  <c r="AB169" i="10" l="1"/>
  <c r="AC169" i="10" s="1"/>
  <c r="AB122" i="10"/>
  <c r="AC122" i="10" s="1"/>
  <c r="J122" i="10"/>
  <c r="Q122" i="10" s="1"/>
  <c r="U123" i="10" s="1"/>
  <c r="I123" i="10"/>
  <c r="T177" i="10"/>
  <c r="U78" i="10"/>
  <c r="AB77" i="10"/>
  <c r="AC77" i="10" s="1"/>
  <c r="I170" i="10"/>
  <c r="J169" i="10"/>
  <c r="Q169" i="10" s="1"/>
  <c r="U170" i="10" s="1"/>
  <c r="U32" i="10"/>
  <c r="AB31" i="10"/>
  <c r="AC31" i="10" s="1"/>
  <c r="T130" i="10"/>
  <c r="AB170" i="10" l="1"/>
  <c r="AC170" i="10" s="1"/>
  <c r="AB123" i="10"/>
  <c r="AC123" i="10" s="1"/>
  <c r="T178" i="10"/>
  <c r="T131" i="10"/>
  <c r="I171" i="10"/>
  <c r="J170" i="10"/>
  <c r="Q170" i="10" s="1"/>
  <c r="U171" i="10" s="1"/>
  <c r="U79" i="10"/>
  <c r="AB78" i="10"/>
  <c r="AC78" i="10" s="1"/>
  <c r="J123" i="10"/>
  <c r="Q123" i="10" s="1"/>
  <c r="U124" i="10" s="1"/>
  <c r="I124" i="10"/>
  <c r="U33" i="10"/>
  <c r="AB32" i="10"/>
  <c r="AC32" i="10" s="1"/>
  <c r="AB124" i="10" l="1"/>
  <c r="AC124" i="10" s="1"/>
  <c r="AB171" i="10"/>
  <c r="AC171" i="10" s="1"/>
  <c r="T132" i="10"/>
  <c r="U80" i="10"/>
  <c r="AB79" i="10"/>
  <c r="AC79" i="10" s="1"/>
  <c r="J171" i="10"/>
  <c r="Q171" i="10" s="1"/>
  <c r="U172" i="10" s="1"/>
  <c r="I172" i="10"/>
  <c r="U34" i="10"/>
  <c r="AB33" i="10"/>
  <c r="AC33" i="10" s="1"/>
  <c r="I125" i="10"/>
  <c r="J124" i="10"/>
  <c r="Q124" i="10" s="1"/>
  <c r="U125" i="10" s="1"/>
  <c r="T179" i="10"/>
  <c r="AB125" i="10" l="1"/>
  <c r="AC125" i="10" s="1"/>
  <c r="AB172" i="10"/>
  <c r="AC172" i="10" s="1"/>
  <c r="I173" i="10"/>
  <c r="J172" i="10"/>
  <c r="Q172" i="10" s="1"/>
  <c r="U173" i="10" s="1"/>
  <c r="U35" i="10"/>
  <c r="AB34" i="10"/>
  <c r="AC34" i="10" s="1"/>
  <c r="U81" i="10"/>
  <c r="AB80" i="10"/>
  <c r="AC80" i="10" s="1"/>
  <c r="T133" i="10"/>
  <c r="T180" i="10"/>
  <c r="I126" i="10"/>
  <c r="J125" i="10"/>
  <c r="Q125" i="10" s="1"/>
  <c r="U126" i="10" s="1"/>
  <c r="AB126" i="10" l="1"/>
  <c r="AC126" i="10" s="1"/>
  <c r="U174" i="10"/>
  <c r="AB173" i="10"/>
  <c r="AC173" i="10" s="1"/>
  <c r="J126" i="10"/>
  <c r="Q126" i="10" s="1"/>
  <c r="U127" i="10" s="1"/>
  <c r="I127" i="10"/>
  <c r="U82" i="10"/>
  <c r="AB81" i="10"/>
  <c r="AC81" i="10" s="1"/>
  <c r="T134" i="10"/>
  <c r="U36" i="10"/>
  <c r="AB35" i="10"/>
  <c r="AC35" i="10" s="1"/>
  <c r="J173" i="10"/>
  <c r="Q173" i="10" s="1"/>
  <c r="I174" i="10"/>
  <c r="T181" i="10"/>
  <c r="AB127" i="10" l="1"/>
  <c r="AC127" i="10" s="1"/>
  <c r="U37" i="10"/>
  <c r="AB36" i="10"/>
  <c r="AC36" i="10" s="1"/>
  <c r="U83" i="10"/>
  <c r="AB82" i="10"/>
  <c r="AC82" i="10" s="1"/>
  <c r="T135" i="10"/>
  <c r="J127" i="10"/>
  <c r="Q127" i="10" s="1"/>
  <c r="U128" i="10" s="1"/>
  <c r="I128" i="10"/>
  <c r="U175" i="10"/>
  <c r="AB174" i="10"/>
  <c r="AC174" i="10" s="1"/>
  <c r="I175" i="10"/>
  <c r="J174" i="10"/>
  <c r="Q174" i="10" s="1"/>
  <c r="T182" i="10"/>
  <c r="AB128" i="10" l="1"/>
  <c r="AC128" i="10" s="1"/>
  <c r="AB175" i="10"/>
  <c r="AC175" i="10" s="1"/>
  <c r="T136" i="10"/>
  <c r="U84" i="10"/>
  <c r="AB83" i="10"/>
  <c r="AC83" i="10" s="1"/>
  <c r="U38" i="10"/>
  <c r="AB37" i="10"/>
  <c r="AC37" i="10" s="1"/>
  <c r="J128" i="10"/>
  <c r="Q128" i="10" s="1"/>
  <c r="U129" i="10" s="1"/>
  <c r="I129" i="10"/>
  <c r="T183" i="10"/>
  <c r="I176" i="10"/>
  <c r="J175" i="10"/>
  <c r="Q175" i="10" s="1"/>
  <c r="U176" i="10" s="1"/>
  <c r="AB176" i="10" l="1"/>
  <c r="AC176" i="10" s="1"/>
  <c r="AB129" i="10"/>
  <c r="AC129" i="10" s="1"/>
  <c r="U39" i="10"/>
  <c r="AB38" i="10"/>
  <c r="AC38" i="10" s="1"/>
  <c r="U85" i="10"/>
  <c r="AB84" i="10"/>
  <c r="AC84" i="10" s="1"/>
  <c r="I177" i="10"/>
  <c r="J176" i="10"/>
  <c r="Q176" i="10" s="1"/>
  <c r="U177" i="10" s="1"/>
  <c r="I130" i="10"/>
  <c r="J129" i="10"/>
  <c r="Q129" i="10" s="1"/>
  <c r="U130" i="10" s="1"/>
  <c r="AB177" i="10" l="1"/>
  <c r="AC177" i="10" s="1"/>
  <c r="AB130" i="10"/>
  <c r="AC130" i="10" s="1"/>
  <c r="J177" i="10"/>
  <c r="Q177" i="10" s="1"/>
  <c r="U178" i="10" s="1"/>
  <c r="I178" i="10"/>
  <c r="U40" i="10"/>
  <c r="AB39" i="10"/>
  <c r="AC39" i="10" s="1"/>
  <c r="I131" i="10"/>
  <c r="J130" i="10"/>
  <c r="Q130" i="10" s="1"/>
  <c r="U131" i="10" s="1"/>
  <c r="U86" i="10"/>
  <c r="AB85" i="10"/>
  <c r="AC85" i="10" s="1"/>
  <c r="AB131" i="10" l="1"/>
  <c r="AC131" i="10" s="1"/>
  <c r="AB178" i="10"/>
  <c r="AC178" i="10" s="1"/>
  <c r="I132" i="10"/>
  <c r="J131" i="10"/>
  <c r="Q131" i="10" s="1"/>
  <c r="U132" i="10" s="1"/>
  <c r="U87" i="10"/>
  <c r="AB86" i="10"/>
  <c r="AC86" i="10" s="1"/>
  <c r="U41" i="10"/>
  <c r="AB40" i="10"/>
  <c r="AC40" i="10" s="1"/>
  <c r="J178" i="10"/>
  <c r="Q178" i="10" s="1"/>
  <c r="U179" i="10" s="1"/>
  <c r="I179" i="10"/>
  <c r="AB179" i="10" l="1"/>
  <c r="AC179" i="10" s="1"/>
  <c r="AB132" i="10"/>
  <c r="AC132" i="10" s="1"/>
  <c r="U88" i="10"/>
  <c r="AB87" i="10"/>
  <c r="AC87" i="10" s="1"/>
  <c r="I180" i="10"/>
  <c r="J179" i="10"/>
  <c r="Q179" i="10" s="1"/>
  <c r="U180" i="10" s="1"/>
  <c r="U42" i="10"/>
  <c r="AB41" i="10"/>
  <c r="AC41" i="10" s="1"/>
  <c r="J132" i="10"/>
  <c r="Q132" i="10" s="1"/>
  <c r="U133" i="10" s="1"/>
  <c r="I133" i="10"/>
  <c r="AB180" i="10" l="1"/>
  <c r="AC180" i="10" s="1"/>
  <c r="AB133" i="10"/>
  <c r="AC133" i="10" s="1"/>
  <c r="U43" i="10"/>
  <c r="AB42" i="10"/>
  <c r="AC42" i="10" s="1"/>
  <c r="I134" i="10"/>
  <c r="J133" i="10"/>
  <c r="Q133" i="10" s="1"/>
  <c r="U134" i="10" s="1"/>
  <c r="U89" i="10"/>
  <c r="AB88" i="10"/>
  <c r="AC88" i="10" s="1"/>
  <c r="J180" i="10"/>
  <c r="Q180" i="10" s="1"/>
  <c r="U181" i="10" s="1"/>
  <c r="I181" i="10"/>
  <c r="AB181" i="10" l="1"/>
  <c r="AC181" i="10" s="1"/>
  <c r="AB134" i="10"/>
  <c r="AC134" i="10" s="1"/>
  <c r="I182" i="10"/>
  <c r="J181" i="10"/>
  <c r="Q181" i="10" s="1"/>
  <c r="U182" i="10" s="1"/>
  <c r="U90" i="10"/>
  <c r="AB90" i="10" s="1"/>
  <c r="AB89" i="10"/>
  <c r="AC89" i="10" s="1"/>
  <c r="J134" i="10"/>
  <c r="Q134" i="10" s="1"/>
  <c r="U135" i="10" s="1"/>
  <c r="I135" i="10"/>
  <c r="U44" i="10"/>
  <c r="AB44" i="10" s="1"/>
  <c r="AB43" i="10"/>
  <c r="AC43" i="10" s="1"/>
  <c r="AC44" i="10" l="1"/>
  <c r="AB135" i="10"/>
  <c r="AC135" i="10" s="1"/>
  <c r="AB182" i="10"/>
  <c r="AC182" i="10" s="1"/>
  <c r="J135" i="10"/>
  <c r="Q135" i="10" s="1"/>
  <c r="U136" i="10" s="1"/>
  <c r="AB136" i="10" s="1"/>
  <c r="AC136" i="10" s="1"/>
  <c r="I136" i="10"/>
  <c r="J136" i="10" s="1"/>
  <c r="Q136" i="10" s="1"/>
  <c r="AC90" i="10"/>
  <c r="I183" i="10"/>
  <c r="J183" i="10" s="1"/>
  <c r="Q183" i="10" s="1"/>
  <c r="J182" i="10"/>
  <c r="Q182" i="10" s="1"/>
  <c r="U183" i="10" s="1"/>
  <c r="AB183" i="10" s="1"/>
  <c r="AC183" i="10" s="1"/>
</calcChain>
</file>

<file path=xl/sharedStrings.xml><?xml version="1.0" encoding="utf-8"?>
<sst xmlns="http://schemas.openxmlformats.org/spreadsheetml/2006/main" count="237" uniqueCount="127">
  <si>
    <t>순자산</t>
    <phoneticPr fontId="2" type="noConversion"/>
  </si>
  <si>
    <t>년도</t>
    <phoneticPr fontId="2" type="noConversion"/>
  </si>
  <si>
    <t>당해연봉</t>
    <phoneticPr fontId="2" type="noConversion"/>
  </si>
  <si>
    <t>총연봉 상승률</t>
    <phoneticPr fontId="2" type="noConversion"/>
  </si>
  <si>
    <t>대리진급</t>
    <phoneticPr fontId="2" type="noConversion"/>
  </si>
  <si>
    <t>비고</t>
    <phoneticPr fontId="2" type="noConversion"/>
  </si>
  <si>
    <t>보돌 국민은행 계좌</t>
    <phoneticPr fontId="2" type="noConversion"/>
  </si>
  <si>
    <t>날짜</t>
    <phoneticPr fontId="2" type="noConversion"/>
  </si>
  <si>
    <t>책임진급</t>
    <phoneticPr fontId="2" type="noConversion"/>
  </si>
  <si>
    <t>전세금</t>
    <phoneticPr fontId="2" type="noConversion"/>
  </si>
  <si>
    <t>순자산</t>
  </si>
  <si>
    <t>부동산</t>
    <phoneticPr fontId="2" type="noConversion"/>
  </si>
  <si>
    <t>예적금</t>
  </si>
  <si>
    <t>예적금</t>
    <phoneticPr fontId="2" type="noConversion"/>
  </si>
  <si>
    <t>원천징수</t>
    <phoneticPr fontId="2" type="noConversion"/>
  </si>
  <si>
    <t>세금</t>
    <phoneticPr fontId="2" type="noConversion"/>
  </si>
  <si>
    <t>실효세율</t>
    <phoneticPr fontId="2" type="noConversion"/>
  </si>
  <si>
    <t>보험연금</t>
    <phoneticPr fontId="2" type="noConversion"/>
  </si>
  <si>
    <t>예적금</t>
    <phoneticPr fontId="2" type="noConversion"/>
  </si>
  <si>
    <t>보험/연금</t>
    <phoneticPr fontId="2" type="noConversion"/>
  </si>
  <si>
    <t>부동산</t>
    <phoneticPr fontId="2" type="noConversion"/>
  </si>
  <si>
    <t>코인</t>
    <phoneticPr fontId="2" type="noConversion"/>
  </si>
  <si>
    <t>수석진급</t>
    <phoneticPr fontId="2" type="noConversion"/>
  </si>
  <si>
    <t>휴이 토스증권</t>
    <phoneticPr fontId="2" type="noConversion"/>
  </si>
  <si>
    <t>휴이</t>
    <phoneticPr fontId="2" type="noConversion"/>
  </si>
  <si>
    <t>휴이</t>
    <phoneticPr fontId="2" type="noConversion"/>
  </si>
  <si>
    <t>휴이</t>
    <phoneticPr fontId="2" type="noConversion"/>
  </si>
  <si>
    <t>전세</t>
    <phoneticPr fontId="2" type="noConversion"/>
  </si>
  <si>
    <t>매매</t>
    <phoneticPr fontId="2" type="noConversion"/>
  </si>
  <si>
    <t>인플레이션</t>
    <phoneticPr fontId="2" type="noConversion"/>
  </si>
  <si>
    <t>예적금</t>
    <phoneticPr fontId="2" type="noConversion"/>
  </si>
  <si>
    <t>국내예금이자</t>
    <phoneticPr fontId="2" type="noConversion"/>
  </si>
  <si>
    <t>코인기대수익률</t>
    <phoneticPr fontId="2" type="noConversion"/>
  </si>
  <si>
    <t>미국주식기대수익률</t>
    <phoneticPr fontId="2" type="noConversion"/>
  </si>
  <si>
    <t>연금저축</t>
    <phoneticPr fontId="2" type="noConversion"/>
  </si>
  <si>
    <t>회사연금</t>
    <phoneticPr fontId="2" type="noConversion"/>
  </si>
  <si>
    <t>IRP</t>
    <phoneticPr fontId="2" type="noConversion"/>
  </si>
  <si>
    <t>ISA</t>
    <phoneticPr fontId="2" type="noConversion"/>
  </si>
  <si>
    <t>미국직투</t>
    <phoneticPr fontId="2" type="noConversion"/>
  </si>
  <si>
    <t>예금비중</t>
    <phoneticPr fontId="2" type="noConversion"/>
  </si>
  <si>
    <t>미국주식비중</t>
    <phoneticPr fontId="2" type="noConversion"/>
  </si>
  <si>
    <t>기대수익률</t>
    <phoneticPr fontId="2" type="noConversion"/>
  </si>
  <si>
    <t>예금</t>
    <phoneticPr fontId="2" type="noConversion"/>
  </si>
  <si>
    <t>기대수익률(세후)</t>
    <phoneticPr fontId="2" type="noConversion"/>
  </si>
  <si>
    <t>연금저축</t>
    <phoneticPr fontId="2" type="noConversion"/>
  </si>
  <si>
    <t>기대수익률</t>
    <phoneticPr fontId="2" type="noConversion"/>
  </si>
  <si>
    <t>연금저축납입 만료</t>
    <phoneticPr fontId="2" type="noConversion"/>
  </si>
  <si>
    <t>생활비</t>
    <phoneticPr fontId="2" type="noConversion"/>
  </si>
  <si>
    <t>소득 상승률</t>
    <phoneticPr fontId="2" type="noConversion"/>
  </si>
  <si>
    <t>생활비 상승률</t>
    <phoneticPr fontId="2" type="noConversion"/>
  </si>
  <si>
    <t>55세</t>
    <phoneticPr fontId="2" type="noConversion"/>
  </si>
  <si>
    <t>65세</t>
    <phoneticPr fontId="2" type="noConversion"/>
  </si>
  <si>
    <t>IRP
ISA
회사연금</t>
    <phoneticPr fontId="2" type="noConversion"/>
  </si>
  <si>
    <t>코인</t>
    <phoneticPr fontId="2" type="noConversion"/>
  </si>
  <si>
    <t>미국예금이자</t>
    <phoneticPr fontId="2" type="noConversion"/>
  </si>
  <si>
    <t>금융소득세금</t>
    <phoneticPr fontId="2" type="noConversion"/>
  </si>
  <si>
    <t>미국직투</t>
    <phoneticPr fontId="2" type="noConversion"/>
  </si>
  <si>
    <t>미국직투</t>
    <phoneticPr fontId="2" type="noConversion"/>
  </si>
  <si>
    <t>입금</t>
    <phoneticPr fontId="2" type="noConversion"/>
  </si>
  <si>
    <t>IRP</t>
    <phoneticPr fontId="2" type="noConversion"/>
  </si>
  <si>
    <t>ISA</t>
    <phoneticPr fontId="2" type="noConversion"/>
  </si>
  <si>
    <t>예금</t>
    <phoneticPr fontId="2" type="noConversion"/>
  </si>
  <si>
    <t>회사연금</t>
    <phoneticPr fontId="2" type="noConversion"/>
  </si>
  <si>
    <t>코인</t>
    <phoneticPr fontId="2" type="noConversion"/>
  </si>
  <si>
    <t>코인</t>
    <phoneticPr fontId="2" type="noConversion"/>
  </si>
  <si>
    <t>잉여</t>
    <phoneticPr fontId="2" type="noConversion"/>
  </si>
  <si>
    <t>연금
저축</t>
    <phoneticPr fontId="2" type="noConversion"/>
  </si>
  <si>
    <t>이벤트</t>
    <phoneticPr fontId="2" type="noConversion"/>
  </si>
  <si>
    <t>자산</t>
    <phoneticPr fontId="2" type="noConversion"/>
  </si>
  <si>
    <t>전세 상승률</t>
    <phoneticPr fontId="2" type="noConversion"/>
  </si>
  <si>
    <t>자산Delta</t>
    <phoneticPr fontId="2" type="noConversion"/>
  </si>
  <si>
    <t>58세 은퇴</t>
    <phoneticPr fontId="2" type="noConversion"/>
  </si>
  <si>
    <t>주거비용</t>
    <phoneticPr fontId="2" type="noConversion"/>
  </si>
  <si>
    <t>추가</t>
    <phoneticPr fontId="2" type="noConversion"/>
  </si>
  <si>
    <t>급여
(세후)</t>
    <phoneticPr fontId="2" type="noConversion"/>
  </si>
  <si>
    <t>예금 +전세</t>
    <phoneticPr fontId="2" type="noConversion"/>
  </si>
  <si>
    <t>예금 + 매매전환</t>
    <phoneticPr fontId="2" type="noConversion"/>
  </si>
  <si>
    <t>예금 +전세 + 부업3000</t>
    <phoneticPr fontId="2" type="noConversion"/>
  </si>
  <si>
    <t>예금 + 매매전환 + 부업</t>
    <phoneticPr fontId="2" type="noConversion"/>
  </si>
  <si>
    <t>연금저축</t>
    <phoneticPr fontId="2" type="noConversion"/>
  </si>
  <si>
    <t>IRP</t>
    <phoneticPr fontId="2" type="noConversion"/>
  </si>
  <si>
    <t>ISA</t>
    <phoneticPr fontId="2" type="noConversion"/>
  </si>
  <si>
    <t>-</t>
    <phoneticPr fontId="2" type="noConversion"/>
  </si>
  <si>
    <t>출금</t>
    <phoneticPr fontId="2" type="noConversion"/>
  </si>
  <si>
    <t>-</t>
    <phoneticPr fontId="2" type="noConversion"/>
  </si>
  <si>
    <t>KODEX 미국배당다우존스</t>
    <phoneticPr fontId="2" type="noConversion"/>
  </si>
  <si>
    <t>운용전략(보돌)</t>
    <phoneticPr fontId="2" type="noConversion"/>
  </si>
  <si>
    <t>운용전략(빽돌)</t>
    <phoneticPr fontId="2" type="noConversion"/>
  </si>
  <si>
    <t>미국 고배당 + 커버드콜</t>
    <phoneticPr fontId="2" type="noConversion"/>
  </si>
  <si>
    <t>SOL 미국배당미국채혼합50</t>
    <phoneticPr fontId="2" type="noConversion"/>
  </si>
  <si>
    <t>KODEX 미국배당다우존스 50%
KODEX 미국S&amp;P500TR 25%
KODEX 미국나스닥100TR 25%</t>
    <phoneticPr fontId="2" type="noConversion"/>
  </si>
  <si>
    <t>공제</t>
    <phoneticPr fontId="2" type="noConversion"/>
  </si>
  <si>
    <t>∞</t>
    <phoneticPr fontId="2" type="noConversion"/>
  </si>
  <si>
    <t>배당
면세</t>
    <phoneticPr fontId="2" type="noConversion"/>
  </si>
  <si>
    <t>55세</t>
    <phoneticPr fontId="2" type="noConversion"/>
  </si>
  <si>
    <t>3년</t>
    <phoneticPr fontId="2" type="noConversion"/>
  </si>
  <si>
    <t>안전
자산
비율</t>
    <phoneticPr fontId="2" type="noConversion"/>
  </si>
  <si>
    <t>납입
/년</t>
    <phoneticPr fontId="2" type="noConversion"/>
  </si>
  <si>
    <t>납입
/월</t>
    <phoneticPr fontId="2" type="noConversion"/>
  </si>
  <si>
    <t>납입
한도
/년</t>
    <phoneticPr fontId="2" type="noConversion"/>
  </si>
  <si>
    <t>보돌 IRP + ISA + 연금저축</t>
    <phoneticPr fontId="2" type="noConversion"/>
  </si>
  <si>
    <t>보돌 공무원 적금</t>
    <phoneticPr fontId="2" type="noConversion"/>
  </si>
  <si>
    <t>영석 KB라이프 변액종신</t>
    <phoneticPr fontId="2" type="noConversion"/>
  </si>
  <si>
    <t>1년전대비</t>
    <phoneticPr fontId="2" type="noConversion"/>
  </si>
  <si>
    <t>투자</t>
    <phoneticPr fontId="2" type="noConversion"/>
  </si>
  <si>
    <t>영석 KB증권 회사 자사주</t>
    <phoneticPr fontId="2" type="noConversion"/>
  </si>
  <si>
    <t>영석 KB증권 ISA</t>
    <phoneticPr fontId="2" type="noConversion"/>
  </si>
  <si>
    <t>휴이</t>
    <phoneticPr fontId="2" type="noConversion"/>
  </si>
  <si>
    <t>투자</t>
    <phoneticPr fontId="2" type="noConversion"/>
  </si>
  <si>
    <t>영석 KB증권 연금들
(DC퇴직연금/IRP/연금저축)</t>
    <phoneticPr fontId="2" type="noConversion"/>
  </si>
  <si>
    <t>연이율</t>
    <phoneticPr fontId="2" type="noConversion"/>
  </si>
  <si>
    <t>연납</t>
    <phoneticPr fontId="2" type="noConversion"/>
  </si>
  <si>
    <t>달성</t>
    <phoneticPr fontId="2" type="noConversion"/>
  </si>
  <si>
    <t>보돌 카카오페이 증권</t>
    <phoneticPr fontId="2" type="noConversion"/>
  </si>
  <si>
    <t>키움증권 해외계좌</t>
    <phoneticPr fontId="2" type="noConversion"/>
  </si>
  <si>
    <t>키움증권 국내계좌</t>
    <phoneticPr fontId="2" type="noConversion"/>
  </si>
  <si>
    <t>영석 우리은행</t>
    <phoneticPr fontId="2" type="noConversion"/>
  </si>
  <si>
    <t>영석 카카오뱅크</t>
    <phoneticPr fontId="2" type="noConversion"/>
  </si>
  <si>
    <t>영석 새마을금고 예적금</t>
    <phoneticPr fontId="2" type="noConversion"/>
  </si>
  <si>
    <t>영석 새마을금고 출자금</t>
    <phoneticPr fontId="2" type="noConversion"/>
  </si>
  <si>
    <t>투자(-4천)</t>
    <phoneticPr fontId="2" type="noConversion"/>
  </si>
  <si>
    <t>예상</t>
    <phoneticPr fontId="2" type="noConversion"/>
  </si>
  <si>
    <t>나이</t>
    <phoneticPr fontId="2" type="noConversion"/>
  </si>
  <si>
    <t>실제</t>
    <phoneticPr fontId="2" type="noConversion"/>
  </si>
  <si>
    <t>전년비
수익률</t>
    <phoneticPr fontId="2" type="noConversion"/>
  </si>
  <si>
    <t>연금목표</t>
    <phoneticPr fontId="2" type="noConversion"/>
  </si>
  <si>
    <t>투자목표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</si>
</sst>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%"/>
    <numFmt numFmtId="177" formatCode="0.000%"/>
    <numFmt numFmtId="178" formatCode="_-* #,##0_-;\-* #,##0_-;_-* &quot;-&quot;??_-;_-@_-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9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41" fontId="0" fillId="0" borderId="1" xfId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41" fontId="0" fillId="0" borderId="1" xfId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76" fontId="0" fillId="0" borderId="1" xfId="2" applyNumberFormat="1" applyFont="1" applyBorder="1" applyAlignment="1"/>
    <xf numFmtId="41" fontId="0" fillId="0" borderId="1" xfId="1" applyFont="1" applyBorder="1" applyAlignment="1">
      <alignment horizontal="left"/>
    </xf>
    <xf numFmtId="41" fontId="0" fillId="0" borderId="0" xfId="0" applyNumberFormat="1"/>
    <xf numFmtId="14" fontId="0" fillId="0" borderId="1" xfId="0" applyNumberFormat="1" applyBorder="1" applyAlignment="1">
      <alignment horizontal="center" vertical="center"/>
    </xf>
    <xf numFmtId="41" fontId="0" fillId="0" borderId="1" xfId="1" applyFont="1" applyBorder="1" applyAlignment="1">
      <alignment horizontal="center" vertical="center" wrapText="1"/>
    </xf>
    <xf numFmtId="41" fontId="0" fillId="0" borderId="0" xfId="1" applyFont="1" applyAlignment="1"/>
    <xf numFmtId="41" fontId="3" fillId="2" borderId="1" xfId="1" applyFont="1" applyFill="1" applyBorder="1" applyAlignment="1">
      <alignment horizontal="center"/>
    </xf>
    <xf numFmtId="41" fontId="0" fillId="0" borderId="1" xfId="1" applyFont="1" applyBorder="1" applyAlignment="1"/>
    <xf numFmtId="41" fontId="0" fillId="0" borderId="1" xfId="0" applyNumberFormat="1" applyBorder="1"/>
    <xf numFmtId="0" fontId="0" fillId="0" borderId="0" xfId="0" applyAlignment="1"/>
    <xf numFmtId="0" fontId="0" fillId="0" borderId="0" xfId="0" applyAlignment="1">
      <alignment horizontal="left"/>
    </xf>
    <xf numFmtId="177" fontId="0" fillId="0" borderId="0" xfId="0" applyNumberFormat="1"/>
    <xf numFmtId="176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10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8" fontId="0" fillId="0" borderId="1" xfId="0" applyNumberFormat="1" applyBorder="1"/>
    <xf numFmtId="0" fontId="0" fillId="0" borderId="1" xfId="0" applyBorder="1" applyAlignment="1">
      <alignment horizontal="center" wrapText="1"/>
    </xf>
    <xf numFmtId="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41" fontId="0" fillId="0" borderId="2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2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자산비중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04E-4D48-99AA-D5903FBE1C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04E-4D48-99AA-D5903FBE1C7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504E-4D48-99AA-D5903FBE1C7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504E-4D48-99AA-D5903FBE1C7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504E-4D48-99AA-D5903FBE1C7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504E-4D48-99AA-D5903FBE1C7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504E-4D48-99AA-D5903FBE1C7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504E-4D48-99AA-D5903FBE1C7A}"/>
              </c:ext>
            </c:extLst>
          </c:dPt>
          <c:dLbls>
            <c:dLbl>
              <c:idx val="0"/>
              <c:layout>
                <c:manualLayout>
                  <c:x val="2.3330689847942124E-2"/>
                  <c:y val="-0.1791831214057899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4E-4D48-99AA-D5903FBE1C7A}"/>
                </c:ext>
              </c:extLst>
            </c:dLbl>
            <c:dLbl>
              <c:idx val="1"/>
              <c:layout>
                <c:manualLayout>
                  <c:x val="3.5893368996834034E-2"/>
                  <c:y val="-2.06749755468219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4E-4D48-99AA-D5903FBE1C7A}"/>
                </c:ext>
              </c:extLst>
            </c:dLbl>
            <c:dLbl>
              <c:idx val="2"/>
              <c:layout>
                <c:manualLayout>
                  <c:x val="-1.2562679148891979E-2"/>
                  <c:y val="-3.10124633202328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4E-4D48-99AA-D5903FBE1C7A}"/>
                </c:ext>
              </c:extLst>
            </c:dLbl>
            <c:dLbl>
              <c:idx val="3"/>
              <c:layout>
                <c:manualLayout>
                  <c:x val="2.3330689847942059E-2"/>
                  <c:y val="-3.790412183584015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4E-4D48-99AA-D5903FBE1C7A}"/>
                </c:ext>
              </c:extLst>
            </c:dLbl>
            <c:dLbl>
              <c:idx val="7"/>
              <c:layout>
                <c:manualLayout>
                  <c:x val="2.6920026747625527E-2"/>
                  <c:y val="3.4458292578036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7117112432162947E-2"/>
                      <c:h val="0.113065797702690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504E-4D48-99AA-D5903FBE1C7A}"/>
                </c:ext>
              </c:extLst>
            </c:dLbl>
            <c:numFmt formatCode="0.0%" sourceLinked="0"/>
            <c:spPr>
              <a:solidFill>
                <a:sysClr val="window" lastClr="FFFFFF">
                  <a:alpha val="50000"/>
                </a:sys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일별!$M$14:$Q$14</c:f>
              <c:strCache>
                <c:ptCount val="5"/>
                <c:pt idx="0">
                  <c:v>부동산</c:v>
                </c:pt>
                <c:pt idx="1">
                  <c:v>예적금</c:v>
                </c:pt>
                <c:pt idx="2">
                  <c:v>보험/연금</c:v>
                </c:pt>
                <c:pt idx="3">
                  <c:v>투자</c:v>
                </c:pt>
                <c:pt idx="4">
                  <c:v>휴이</c:v>
                </c:pt>
              </c:strCache>
            </c:strRef>
          </c:cat>
          <c:val>
            <c:numRef>
              <c:f>일별!$M$15:$Q$15</c:f>
              <c:numCache>
                <c:formatCode>_(* #,##0_);_(* \(#,##0\);_(* "-"_);_(@_)</c:formatCode>
                <c:ptCount val="5"/>
                <c:pt idx="0">
                  <c:v>60500</c:v>
                </c:pt>
                <c:pt idx="1">
                  <c:v>7374</c:v>
                </c:pt>
                <c:pt idx="2">
                  <c:v>37636</c:v>
                </c:pt>
                <c:pt idx="3">
                  <c:v>83050</c:v>
                </c:pt>
                <c:pt idx="4">
                  <c:v>5339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04E-4D48-99AA-D5903FBE1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14"/>
        <c:splitType val="percent"/>
        <c:splitPos val="5"/>
        <c:secondPieSize val="54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자산 흐름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일별!$C$1</c:f>
              <c:strCache>
                <c:ptCount val="1"/>
                <c:pt idx="0">
                  <c:v>부동산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일별!$B$2:$B$71</c:f>
              <c:numCache>
                <c:formatCode>m/d/yyyy</c:formatCode>
                <c:ptCount val="70"/>
                <c:pt idx="0">
                  <c:v>46171</c:v>
                </c:pt>
                <c:pt idx="1">
                  <c:v>46142</c:v>
                </c:pt>
                <c:pt idx="2">
                  <c:v>46080</c:v>
                </c:pt>
                <c:pt idx="3">
                  <c:v>46027</c:v>
                </c:pt>
                <c:pt idx="4">
                  <c:v>45990</c:v>
                </c:pt>
                <c:pt idx="5">
                  <c:v>45928</c:v>
                </c:pt>
                <c:pt idx="6">
                  <c:v>45870</c:v>
                </c:pt>
                <c:pt idx="7">
                  <c:v>45809</c:v>
                </c:pt>
                <c:pt idx="8">
                  <c:v>45746</c:v>
                </c:pt>
                <c:pt idx="9">
                  <c:v>45689</c:v>
                </c:pt>
                <c:pt idx="10">
                  <c:v>45658</c:v>
                </c:pt>
                <c:pt idx="11">
                  <c:v>45630</c:v>
                </c:pt>
                <c:pt idx="12">
                  <c:v>45601</c:v>
                </c:pt>
                <c:pt idx="13">
                  <c:v>45571</c:v>
                </c:pt>
                <c:pt idx="14">
                  <c:v>45535</c:v>
                </c:pt>
                <c:pt idx="15">
                  <c:v>45480</c:v>
                </c:pt>
                <c:pt idx="16">
                  <c:v>45449</c:v>
                </c:pt>
                <c:pt idx="17">
                  <c:v>45414</c:v>
                </c:pt>
                <c:pt idx="18">
                  <c:v>45384</c:v>
                </c:pt>
                <c:pt idx="19">
                  <c:v>45352</c:v>
                </c:pt>
                <c:pt idx="20">
                  <c:v>45323</c:v>
                </c:pt>
                <c:pt idx="21">
                  <c:v>45295</c:v>
                </c:pt>
                <c:pt idx="22">
                  <c:v>45262</c:v>
                </c:pt>
                <c:pt idx="23">
                  <c:v>45233</c:v>
                </c:pt>
                <c:pt idx="24">
                  <c:v>45206</c:v>
                </c:pt>
                <c:pt idx="25">
                  <c:v>45172</c:v>
                </c:pt>
                <c:pt idx="26">
                  <c:v>45138</c:v>
                </c:pt>
                <c:pt idx="27">
                  <c:v>45111</c:v>
                </c:pt>
                <c:pt idx="28">
                  <c:v>45077</c:v>
                </c:pt>
                <c:pt idx="29">
                  <c:v>45051</c:v>
                </c:pt>
                <c:pt idx="30">
                  <c:v>45018</c:v>
                </c:pt>
                <c:pt idx="31">
                  <c:v>44989</c:v>
                </c:pt>
                <c:pt idx="32">
                  <c:v>44966</c:v>
                </c:pt>
                <c:pt idx="33">
                  <c:v>44934</c:v>
                </c:pt>
                <c:pt idx="34">
                  <c:v>44906</c:v>
                </c:pt>
                <c:pt idx="35">
                  <c:v>44870</c:v>
                </c:pt>
                <c:pt idx="36">
                  <c:v>44844</c:v>
                </c:pt>
                <c:pt idx="37">
                  <c:v>44804</c:v>
                </c:pt>
                <c:pt idx="38">
                  <c:v>44781</c:v>
                </c:pt>
                <c:pt idx="39">
                  <c:v>44746</c:v>
                </c:pt>
                <c:pt idx="40">
                  <c:v>44709</c:v>
                </c:pt>
                <c:pt idx="41">
                  <c:v>44680</c:v>
                </c:pt>
                <c:pt idx="42">
                  <c:v>44640</c:v>
                </c:pt>
                <c:pt idx="43">
                  <c:v>44590</c:v>
                </c:pt>
                <c:pt idx="44">
                  <c:v>44560</c:v>
                </c:pt>
                <c:pt idx="45">
                  <c:v>44534</c:v>
                </c:pt>
                <c:pt idx="46">
                  <c:v>42448</c:v>
                </c:pt>
                <c:pt idx="47">
                  <c:v>42330</c:v>
                </c:pt>
                <c:pt idx="48">
                  <c:v>42203</c:v>
                </c:pt>
                <c:pt idx="49">
                  <c:v>42141</c:v>
                </c:pt>
                <c:pt idx="50">
                  <c:v>42050</c:v>
                </c:pt>
                <c:pt idx="51">
                  <c:v>41987</c:v>
                </c:pt>
                <c:pt idx="52">
                  <c:v>41921</c:v>
                </c:pt>
                <c:pt idx="53">
                  <c:v>41896</c:v>
                </c:pt>
                <c:pt idx="54">
                  <c:v>41861</c:v>
                </c:pt>
                <c:pt idx="55">
                  <c:v>41833</c:v>
                </c:pt>
                <c:pt idx="56">
                  <c:v>41799</c:v>
                </c:pt>
                <c:pt idx="57">
                  <c:v>41766</c:v>
                </c:pt>
                <c:pt idx="58">
                  <c:v>41735</c:v>
                </c:pt>
                <c:pt idx="59">
                  <c:v>41703</c:v>
                </c:pt>
                <c:pt idx="60">
                  <c:v>41673</c:v>
                </c:pt>
                <c:pt idx="61">
                  <c:v>41651</c:v>
                </c:pt>
                <c:pt idx="62">
                  <c:v>41611</c:v>
                </c:pt>
                <c:pt idx="63">
                  <c:v>41584</c:v>
                </c:pt>
                <c:pt idx="64">
                  <c:v>41550</c:v>
                </c:pt>
                <c:pt idx="65">
                  <c:v>41520</c:v>
                </c:pt>
                <c:pt idx="66">
                  <c:v>41495</c:v>
                </c:pt>
                <c:pt idx="67">
                  <c:v>41459</c:v>
                </c:pt>
                <c:pt idx="68">
                  <c:v>41431</c:v>
                </c:pt>
                <c:pt idx="69">
                  <c:v>41398</c:v>
                </c:pt>
              </c:numCache>
            </c:numRef>
          </c:cat>
          <c:val>
            <c:numRef>
              <c:f>일별!$C$2:$C$71</c:f>
              <c:numCache>
                <c:formatCode>_(* #,##0_);_(* \(#,##0\);_(* "-"_);_(@_)</c:formatCode>
                <c:ptCount val="70"/>
                <c:pt idx="0">
                  <c:v>60500</c:v>
                </c:pt>
                <c:pt idx="1">
                  <c:v>60500</c:v>
                </c:pt>
                <c:pt idx="2">
                  <c:v>60500</c:v>
                </c:pt>
                <c:pt idx="3">
                  <c:v>60500</c:v>
                </c:pt>
                <c:pt idx="4">
                  <c:v>60500</c:v>
                </c:pt>
                <c:pt idx="5">
                  <c:v>60500</c:v>
                </c:pt>
                <c:pt idx="6">
                  <c:v>60500</c:v>
                </c:pt>
                <c:pt idx="7">
                  <c:v>60500</c:v>
                </c:pt>
                <c:pt idx="8">
                  <c:v>60500</c:v>
                </c:pt>
                <c:pt idx="9">
                  <c:v>60500</c:v>
                </c:pt>
                <c:pt idx="10">
                  <c:v>60500</c:v>
                </c:pt>
                <c:pt idx="11">
                  <c:v>61950</c:v>
                </c:pt>
                <c:pt idx="12">
                  <c:v>61950</c:v>
                </c:pt>
                <c:pt idx="13">
                  <c:v>61950</c:v>
                </c:pt>
                <c:pt idx="14">
                  <c:v>61950</c:v>
                </c:pt>
                <c:pt idx="15">
                  <c:v>61950</c:v>
                </c:pt>
                <c:pt idx="16">
                  <c:v>61950</c:v>
                </c:pt>
                <c:pt idx="17">
                  <c:v>61950</c:v>
                </c:pt>
                <c:pt idx="18">
                  <c:v>61950</c:v>
                </c:pt>
                <c:pt idx="19">
                  <c:v>61950</c:v>
                </c:pt>
                <c:pt idx="20">
                  <c:v>61950</c:v>
                </c:pt>
                <c:pt idx="21">
                  <c:v>61950</c:v>
                </c:pt>
                <c:pt idx="22">
                  <c:v>61950</c:v>
                </c:pt>
                <c:pt idx="23">
                  <c:v>61950</c:v>
                </c:pt>
                <c:pt idx="24">
                  <c:v>61950</c:v>
                </c:pt>
                <c:pt idx="25">
                  <c:v>61950</c:v>
                </c:pt>
                <c:pt idx="26">
                  <c:v>61950</c:v>
                </c:pt>
                <c:pt idx="27">
                  <c:v>61950</c:v>
                </c:pt>
                <c:pt idx="28">
                  <c:v>61950</c:v>
                </c:pt>
                <c:pt idx="29">
                  <c:v>61950</c:v>
                </c:pt>
                <c:pt idx="30">
                  <c:v>61950</c:v>
                </c:pt>
                <c:pt idx="31">
                  <c:v>61950</c:v>
                </c:pt>
                <c:pt idx="32">
                  <c:v>61950</c:v>
                </c:pt>
                <c:pt idx="33">
                  <c:v>61950</c:v>
                </c:pt>
                <c:pt idx="34">
                  <c:v>59000</c:v>
                </c:pt>
                <c:pt idx="35">
                  <c:v>59000</c:v>
                </c:pt>
                <c:pt idx="36">
                  <c:v>59000</c:v>
                </c:pt>
                <c:pt idx="37">
                  <c:v>59000</c:v>
                </c:pt>
                <c:pt idx="38">
                  <c:v>59000</c:v>
                </c:pt>
                <c:pt idx="39">
                  <c:v>59000</c:v>
                </c:pt>
                <c:pt idx="40">
                  <c:v>59000</c:v>
                </c:pt>
                <c:pt idx="41">
                  <c:v>59000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B0-419E-B23E-3D1B5DBEA4D3}"/>
            </c:ext>
          </c:extLst>
        </c:ser>
        <c:ser>
          <c:idx val="1"/>
          <c:order val="1"/>
          <c:tx>
            <c:strRef>
              <c:f>일별!$D$1</c:f>
              <c:strCache>
                <c:ptCount val="1"/>
                <c:pt idx="0">
                  <c:v>예적금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일별!$B$2:$B$71</c:f>
              <c:numCache>
                <c:formatCode>m/d/yyyy</c:formatCode>
                <c:ptCount val="70"/>
                <c:pt idx="0">
                  <c:v>46171</c:v>
                </c:pt>
                <c:pt idx="1">
                  <c:v>46142</c:v>
                </c:pt>
                <c:pt idx="2">
                  <c:v>46080</c:v>
                </c:pt>
                <c:pt idx="3">
                  <c:v>46027</c:v>
                </c:pt>
                <c:pt idx="4">
                  <c:v>45990</c:v>
                </c:pt>
                <c:pt idx="5">
                  <c:v>45928</c:v>
                </c:pt>
                <c:pt idx="6">
                  <c:v>45870</c:v>
                </c:pt>
                <c:pt idx="7">
                  <c:v>45809</c:v>
                </c:pt>
                <c:pt idx="8">
                  <c:v>45746</c:v>
                </c:pt>
                <c:pt idx="9">
                  <c:v>45689</c:v>
                </c:pt>
                <c:pt idx="10">
                  <c:v>45658</c:v>
                </c:pt>
                <c:pt idx="11">
                  <c:v>45630</c:v>
                </c:pt>
                <c:pt idx="12">
                  <c:v>45601</c:v>
                </c:pt>
                <c:pt idx="13">
                  <c:v>45571</c:v>
                </c:pt>
                <c:pt idx="14">
                  <c:v>45535</c:v>
                </c:pt>
                <c:pt idx="15">
                  <c:v>45480</c:v>
                </c:pt>
                <c:pt idx="16">
                  <c:v>45449</c:v>
                </c:pt>
                <c:pt idx="17">
                  <c:v>45414</c:v>
                </c:pt>
                <c:pt idx="18">
                  <c:v>45384</c:v>
                </c:pt>
                <c:pt idx="19">
                  <c:v>45352</c:v>
                </c:pt>
                <c:pt idx="20">
                  <c:v>45323</c:v>
                </c:pt>
                <c:pt idx="21">
                  <c:v>45295</c:v>
                </c:pt>
                <c:pt idx="22">
                  <c:v>45262</c:v>
                </c:pt>
                <c:pt idx="23">
                  <c:v>45233</c:v>
                </c:pt>
                <c:pt idx="24">
                  <c:v>45206</c:v>
                </c:pt>
                <c:pt idx="25">
                  <c:v>45172</c:v>
                </c:pt>
                <c:pt idx="26">
                  <c:v>45138</c:v>
                </c:pt>
                <c:pt idx="27">
                  <c:v>45111</c:v>
                </c:pt>
                <c:pt idx="28">
                  <c:v>45077</c:v>
                </c:pt>
                <c:pt idx="29">
                  <c:v>45051</c:v>
                </c:pt>
                <c:pt idx="30">
                  <c:v>45018</c:v>
                </c:pt>
                <c:pt idx="31">
                  <c:v>44989</c:v>
                </c:pt>
                <c:pt idx="32">
                  <c:v>44966</c:v>
                </c:pt>
                <c:pt idx="33">
                  <c:v>44934</c:v>
                </c:pt>
                <c:pt idx="34">
                  <c:v>44906</c:v>
                </c:pt>
                <c:pt idx="35">
                  <c:v>44870</c:v>
                </c:pt>
                <c:pt idx="36">
                  <c:v>44844</c:v>
                </c:pt>
                <c:pt idx="37">
                  <c:v>44804</c:v>
                </c:pt>
                <c:pt idx="38">
                  <c:v>44781</c:v>
                </c:pt>
                <c:pt idx="39">
                  <c:v>44746</c:v>
                </c:pt>
                <c:pt idx="40">
                  <c:v>44709</c:v>
                </c:pt>
                <c:pt idx="41">
                  <c:v>44680</c:v>
                </c:pt>
                <c:pt idx="42">
                  <c:v>44640</c:v>
                </c:pt>
                <c:pt idx="43">
                  <c:v>44590</c:v>
                </c:pt>
                <c:pt idx="44">
                  <c:v>44560</c:v>
                </c:pt>
                <c:pt idx="45">
                  <c:v>44534</c:v>
                </c:pt>
                <c:pt idx="46">
                  <c:v>42448</c:v>
                </c:pt>
                <c:pt idx="47">
                  <c:v>42330</c:v>
                </c:pt>
                <c:pt idx="48">
                  <c:v>42203</c:v>
                </c:pt>
                <c:pt idx="49">
                  <c:v>42141</c:v>
                </c:pt>
                <c:pt idx="50">
                  <c:v>42050</c:v>
                </c:pt>
                <c:pt idx="51">
                  <c:v>41987</c:v>
                </c:pt>
                <c:pt idx="52">
                  <c:v>41921</c:v>
                </c:pt>
                <c:pt idx="53">
                  <c:v>41896</c:v>
                </c:pt>
                <c:pt idx="54">
                  <c:v>41861</c:v>
                </c:pt>
                <c:pt idx="55">
                  <c:v>41833</c:v>
                </c:pt>
                <c:pt idx="56">
                  <c:v>41799</c:v>
                </c:pt>
                <c:pt idx="57">
                  <c:v>41766</c:v>
                </c:pt>
                <c:pt idx="58">
                  <c:v>41735</c:v>
                </c:pt>
                <c:pt idx="59">
                  <c:v>41703</c:v>
                </c:pt>
                <c:pt idx="60">
                  <c:v>41673</c:v>
                </c:pt>
                <c:pt idx="61">
                  <c:v>41651</c:v>
                </c:pt>
                <c:pt idx="62">
                  <c:v>41611</c:v>
                </c:pt>
                <c:pt idx="63">
                  <c:v>41584</c:v>
                </c:pt>
                <c:pt idx="64">
                  <c:v>41550</c:v>
                </c:pt>
                <c:pt idx="65">
                  <c:v>41520</c:v>
                </c:pt>
                <c:pt idx="66">
                  <c:v>41495</c:v>
                </c:pt>
                <c:pt idx="67">
                  <c:v>41459</c:v>
                </c:pt>
                <c:pt idx="68">
                  <c:v>41431</c:v>
                </c:pt>
                <c:pt idx="69">
                  <c:v>41398</c:v>
                </c:pt>
              </c:numCache>
            </c:numRef>
          </c:cat>
          <c:val>
            <c:numRef>
              <c:f>일별!$D$2:$D$71</c:f>
              <c:numCache>
                <c:formatCode>_(* #,##0_);_(* \(#,##0\);_(* "-"_);_(@_)</c:formatCode>
                <c:ptCount val="70"/>
                <c:pt idx="0">
                  <c:v>7374</c:v>
                </c:pt>
                <c:pt idx="1">
                  <c:v>8240</c:v>
                </c:pt>
                <c:pt idx="2">
                  <c:v>17448</c:v>
                </c:pt>
                <c:pt idx="3">
                  <c:v>33483</c:v>
                </c:pt>
                <c:pt idx="4">
                  <c:v>38447</c:v>
                </c:pt>
                <c:pt idx="5">
                  <c:v>38354</c:v>
                </c:pt>
                <c:pt idx="6">
                  <c:v>39217</c:v>
                </c:pt>
                <c:pt idx="7">
                  <c:v>44568</c:v>
                </c:pt>
                <c:pt idx="8">
                  <c:v>42891</c:v>
                </c:pt>
                <c:pt idx="9">
                  <c:v>42914</c:v>
                </c:pt>
                <c:pt idx="10">
                  <c:v>41823</c:v>
                </c:pt>
                <c:pt idx="11">
                  <c:v>40408</c:v>
                </c:pt>
                <c:pt idx="12">
                  <c:v>41446</c:v>
                </c:pt>
                <c:pt idx="13">
                  <c:v>40344</c:v>
                </c:pt>
                <c:pt idx="14">
                  <c:v>39789</c:v>
                </c:pt>
                <c:pt idx="15">
                  <c:v>39126</c:v>
                </c:pt>
                <c:pt idx="16">
                  <c:v>37785</c:v>
                </c:pt>
                <c:pt idx="17">
                  <c:v>38367</c:v>
                </c:pt>
                <c:pt idx="18">
                  <c:v>38150</c:v>
                </c:pt>
                <c:pt idx="19">
                  <c:v>37146</c:v>
                </c:pt>
                <c:pt idx="20">
                  <c:v>36458</c:v>
                </c:pt>
                <c:pt idx="21">
                  <c:v>35170</c:v>
                </c:pt>
                <c:pt idx="22">
                  <c:v>34714</c:v>
                </c:pt>
                <c:pt idx="23">
                  <c:v>34511</c:v>
                </c:pt>
                <c:pt idx="24">
                  <c:v>34339</c:v>
                </c:pt>
                <c:pt idx="25">
                  <c:v>33132</c:v>
                </c:pt>
                <c:pt idx="26">
                  <c:v>32449</c:v>
                </c:pt>
                <c:pt idx="27">
                  <c:v>31922</c:v>
                </c:pt>
                <c:pt idx="28">
                  <c:v>31888</c:v>
                </c:pt>
                <c:pt idx="29">
                  <c:v>29624</c:v>
                </c:pt>
                <c:pt idx="30">
                  <c:v>29162</c:v>
                </c:pt>
                <c:pt idx="31">
                  <c:v>28686</c:v>
                </c:pt>
                <c:pt idx="32">
                  <c:v>28998</c:v>
                </c:pt>
                <c:pt idx="33">
                  <c:v>25861</c:v>
                </c:pt>
                <c:pt idx="34">
                  <c:v>28376</c:v>
                </c:pt>
                <c:pt idx="35">
                  <c:v>27680</c:v>
                </c:pt>
                <c:pt idx="36">
                  <c:v>27094</c:v>
                </c:pt>
                <c:pt idx="37">
                  <c:v>27071</c:v>
                </c:pt>
                <c:pt idx="38">
                  <c:v>26735</c:v>
                </c:pt>
                <c:pt idx="39">
                  <c:v>25908</c:v>
                </c:pt>
                <c:pt idx="40">
                  <c:v>25369</c:v>
                </c:pt>
                <c:pt idx="41">
                  <c:v>23535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B0-419E-B23E-3D1B5DBEA4D3}"/>
            </c:ext>
          </c:extLst>
        </c:ser>
        <c:ser>
          <c:idx val="2"/>
          <c:order val="2"/>
          <c:tx>
            <c:strRef>
              <c:f>일별!$E$1</c:f>
              <c:strCache>
                <c:ptCount val="1"/>
                <c:pt idx="0">
                  <c:v>보험/연금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일별!$B$2:$B$71</c:f>
              <c:numCache>
                <c:formatCode>m/d/yyyy</c:formatCode>
                <c:ptCount val="70"/>
                <c:pt idx="0">
                  <c:v>46171</c:v>
                </c:pt>
                <c:pt idx="1">
                  <c:v>46142</c:v>
                </c:pt>
                <c:pt idx="2">
                  <c:v>46080</c:v>
                </c:pt>
                <c:pt idx="3">
                  <c:v>46027</c:v>
                </c:pt>
                <c:pt idx="4">
                  <c:v>45990</c:v>
                </c:pt>
                <c:pt idx="5">
                  <c:v>45928</c:v>
                </c:pt>
                <c:pt idx="6">
                  <c:v>45870</c:v>
                </c:pt>
                <c:pt idx="7">
                  <c:v>45809</c:v>
                </c:pt>
                <c:pt idx="8">
                  <c:v>45746</c:v>
                </c:pt>
                <c:pt idx="9">
                  <c:v>45689</c:v>
                </c:pt>
                <c:pt idx="10">
                  <c:v>45658</c:v>
                </c:pt>
                <c:pt idx="11">
                  <c:v>45630</c:v>
                </c:pt>
                <c:pt idx="12">
                  <c:v>45601</c:v>
                </c:pt>
                <c:pt idx="13">
                  <c:v>45571</c:v>
                </c:pt>
                <c:pt idx="14">
                  <c:v>45535</c:v>
                </c:pt>
                <c:pt idx="15">
                  <c:v>45480</c:v>
                </c:pt>
                <c:pt idx="16">
                  <c:v>45449</c:v>
                </c:pt>
                <c:pt idx="17">
                  <c:v>45414</c:v>
                </c:pt>
                <c:pt idx="18">
                  <c:v>45384</c:v>
                </c:pt>
                <c:pt idx="19">
                  <c:v>45352</c:v>
                </c:pt>
                <c:pt idx="20">
                  <c:v>45323</c:v>
                </c:pt>
                <c:pt idx="21">
                  <c:v>45295</c:v>
                </c:pt>
                <c:pt idx="22">
                  <c:v>45262</c:v>
                </c:pt>
                <c:pt idx="23">
                  <c:v>45233</c:v>
                </c:pt>
                <c:pt idx="24">
                  <c:v>45206</c:v>
                </c:pt>
                <c:pt idx="25">
                  <c:v>45172</c:v>
                </c:pt>
                <c:pt idx="26">
                  <c:v>45138</c:v>
                </c:pt>
                <c:pt idx="27">
                  <c:v>45111</c:v>
                </c:pt>
                <c:pt idx="28">
                  <c:v>45077</c:v>
                </c:pt>
                <c:pt idx="29">
                  <c:v>45051</c:v>
                </c:pt>
                <c:pt idx="30">
                  <c:v>45018</c:v>
                </c:pt>
                <c:pt idx="31">
                  <c:v>44989</c:v>
                </c:pt>
                <c:pt idx="32">
                  <c:v>44966</c:v>
                </c:pt>
                <c:pt idx="33">
                  <c:v>44934</c:v>
                </c:pt>
                <c:pt idx="34">
                  <c:v>44906</c:v>
                </c:pt>
                <c:pt idx="35">
                  <c:v>44870</c:v>
                </c:pt>
                <c:pt idx="36">
                  <c:v>44844</c:v>
                </c:pt>
                <c:pt idx="37">
                  <c:v>44804</c:v>
                </c:pt>
                <c:pt idx="38">
                  <c:v>44781</c:v>
                </c:pt>
                <c:pt idx="39">
                  <c:v>44746</c:v>
                </c:pt>
                <c:pt idx="40">
                  <c:v>44709</c:v>
                </c:pt>
                <c:pt idx="41">
                  <c:v>44680</c:v>
                </c:pt>
                <c:pt idx="42">
                  <c:v>44640</c:v>
                </c:pt>
                <c:pt idx="43">
                  <c:v>44590</c:v>
                </c:pt>
                <c:pt idx="44">
                  <c:v>44560</c:v>
                </c:pt>
                <c:pt idx="45">
                  <c:v>44534</c:v>
                </c:pt>
                <c:pt idx="46">
                  <c:v>42448</c:v>
                </c:pt>
                <c:pt idx="47">
                  <c:v>42330</c:v>
                </c:pt>
                <c:pt idx="48">
                  <c:v>42203</c:v>
                </c:pt>
                <c:pt idx="49">
                  <c:v>42141</c:v>
                </c:pt>
                <c:pt idx="50">
                  <c:v>42050</c:v>
                </c:pt>
                <c:pt idx="51">
                  <c:v>41987</c:v>
                </c:pt>
                <c:pt idx="52">
                  <c:v>41921</c:v>
                </c:pt>
                <c:pt idx="53">
                  <c:v>41896</c:v>
                </c:pt>
                <c:pt idx="54">
                  <c:v>41861</c:v>
                </c:pt>
                <c:pt idx="55">
                  <c:v>41833</c:v>
                </c:pt>
                <c:pt idx="56">
                  <c:v>41799</c:v>
                </c:pt>
                <c:pt idx="57">
                  <c:v>41766</c:v>
                </c:pt>
                <c:pt idx="58">
                  <c:v>41735</c:v>
                </c:pt>
                <c:pt idx="59">
                  <c:v>41703</c:v>
                </c:pt>
                <c:pt idx="60">
                  <c:v>41673</c:v>
                </c:pt>
                <c:pt idx="61">
                  <c:v>41651</c:v>
                </c:pt>
                <c:pt idx="62">
                  <c:v>41611</c:v>
                </c:pt>
                <c:pt idx="63">
                  <c:v>41584</c:v>
                </c:pt>
                <c:pt idx="64">
                  <c:v>41550</c:v>
                </c:pt>
                <c:pt idx="65">
                  <c:v>41520</c:v>
                </c:pt>
                <c:pt idx="66">
                  <c:v>41495</c:v>
                </c:pt>
                <c:pt idx="67">
                  <c:v>41459</c:v>
                </c:pt>
                <c:pt idx="68">
                  <c:v>41431</c:v>
                </c:pt>
                <c:pt idx="69">
                  <c:v>41398</c:v>
                </c:pt>
              </c:numCache>
            </c:numRef>
          </c:cat>
          <c:val>
            <c:numRef>
              <c:f>일별!$E$2:$E$71</c:f>
              <c:numCache>
                <c:formatCode>_(* #,##0_);_(* \(#,##0\);_(* "-"_);_(@_)</c:formatCode>
                <c:ptCount val="70"/>
                <c:pt idx="0">
                  <c:v>37636</c:v>
                </c:pt>
                <c:pt idx="1">
                  <c:v>39741</c:v>
                </c:pt>
                <c:pt idx="2">
                  <c:v>36813</c:v>
                </c:pt>
                <c:pt idx="3">
                  <c:v>29964</c:v>
                </c:pt>
                <c:pt idx="4">
                  <c:v>16528</c:v>
                </c:pt>
                <c:pt idx="5">
                  <c:v>15735</c:v>
                </c:pt>
                <c:pt idx="6">
                  <c:v>14174</c:v>
                </c:pt>
                <c:pt idx="7">
                  <c:v>13304.1</c:v>
                </c:pt>
                <c:pt idx="8">
                  <c:v>12889</c:v>
                </c:pt>
                <c:pt idx="9">
                  <c:v>13001</c:v>
                </c:pt>
                <c:pt idx="10">
                  <c:v>12274</c:v>
                </c:pt>
                <c:pt idx="11">
                  <c:v>10852</c:v>
                </c:pt>
                <c:pt idx="12">
                  <c:v>10574</c:v>
                </c:pt>
                <c:pt idx="13">
                  <c:v>10388</c:v>
                </c:pt>
                <c:pt idx="14">
                  <c:v>10223</c:v>
                </c:pt>
                <c:pt idx="15">
                  <c:v>10015</c:v>
                </c:pt>
                <c:pt idx="16">
                  <c:v>9838</c:v>
                </c:pt>
                <c:pt idx="17">
                  <c:v>9641</c:v>
                </c:pt>
                <c:pt idx="18">
                  <c:v>9497</c:v>
                </c:pt>
                <c:pt idx="19">
                  <c:v>9339</c:v>
                </c:pt>
                <c:pt idx="20">
                  <c:v>9233</c:v>
                </c:pt>
                <c:pt idx="21">
                  <c:v>9109</c:v>
                </c:pt>
                <c:pt idx="22">
                  <c:v>8899</c:v>
                </c:pt>
                <c:pt idx="23">
                  <c:v>8734</c:v>
                </c:pt>
                <c:pt idx="24">
                  <c:v>8621</c:v>
                </c:pt>
                <c:pt idx="25">
                  <c:v>8573</c:v>
                </c:pt>
                <c:pt idx="26">
                  <c:v>8465</c:v>
                </c:pt>
                <c:pt idx="27">
                  <c:v>8338</c:v>
                </c:pt>
                <c:pt idx="28">
                  <c:v>8202</c:v>
                </c:pt>
                <c:pt idx="29">
                  <c:v>8104</c:v>
                </c:pt>
                <c:pt idx="30">
                  <c:v>7958</c:v>
                </c:pt>
                <c:pt idx="31">
                  <c:v>7849</c:v>
                </c:pt>
                <c:pt idx="32">
                  <c:v>7769</c:v>
                </c:pt>
                <c:pt idx="33">
                  <c:v>7646</c:v>
                </c:pt>
                <c:pt idx="34">
                  <c:v>7546</c:v>
                </c:pt>
                <c:pt idx="35">
                  <c:v>7423</c:v>
                </c:pt>
                <c:pt idx="36">
                  <c:v>1775</c:v>
                </c:pt>
                <c:pt idx="37">
                  <c:v>1755</c:v>
                </c:pt>
                <c:pt idx="38">
                  <c:v>1717</c:v>
                </c:pt>
                <c:pt idx="39">
                  <c:v>1645</c:v>
                </c:pt>
                <c:pt idx="40">
                  <c:v>1598</c:v>
                </c:pt>
                <c:pt idx="41">
                  <c:v>1544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B0-419E-B23E-3D1B5DBEA4D3}"/>
            </c:ext>
          </c:extLst>
        </c:ser>
        <c:ser>
          <c:idx val="3"/>
          <c:order val="3"/>
          <c:tx>
            <c:strRef>
              <c:f>일별!$F$1</c:f>
              <c:strCache>
                <c:ptCount val="1"/>
                <c:pt idx="0">
                  <c:v>투자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일별!$B$2:$B$71</c:f>
              <c:numCache>
                <c:formatCode>m/d/yyyy</c:formatCode>
                <c:ptCount val="70"/>
                <c:pt idx="0">
                  <c:v>46171</c:v>
                </c:pt>
                <c:pt idx="1">
                  <c:v>46142</c:v>
                </c:pt>
                <c:pt idx="2">
                  <c:v>46080</c:v>
                </c:pt>
                <c:pt idx="3">
                  <c:v>46027</c:v>
                </c:pt>
                <c:pt idx="4">
                  <c:v>45990</c:v>
                </c:pt>
                <c:pt idx="5">
                  <c:v>45928</c:v>
                </c:pt>
                <c:pt idx="6">
                  <c:v>45870</c:v>
                </c:pt>
                <c:pt idx="7">
                  <c:v>45809</c:v>
                </c:pt>
                <c:pt idx="8">
                  <c:v>45746</c:v>
                </c:pt>
                <c:pt idx="9">
                  <c:v>45689</c:v>
                </c:pt>
                <c:pt idx="10">
                  <c:v>45658</c:v>
                </c:pt>
                <c:pt idx="11">
                  <c:v>45630</c:v>
                </c:pt>
                <c:pt idx="12">
                  <c:v>45601</c:v>
                </c:pt>
                <c:pt idx="13">
                  <c:v>45571</c:v>
                </c:pt>
                <c:pt idx="14">
                  <c:v>45535</c:v>
                </c:pt>
                <c:pt idx="15">
                  <c:v>45480</c:v>
                </c:pt>
                <c:pt idx="16">
                  <c:v>45449</c:v>
                </c:pt>
                <c:pt idx="17">
                  <c:v>45414</c:v>
                </c:pt>
                <c:pt idx="18">
                  <c:v>45384</c:v>
                </c:pt>
                <c:pt idx="19">
                  <c:v>45352</c:v>
                </c:pt>
                <c:pt idx="20">
                  <c:v>45323</c:v>
                </c:pt>
                <c:pt idx="21">
                  <c:v>45295</c:v>
                </c:pt>
                <c:pt idx="22">
                  <c:v>45262</c:v>
                </c:pt>
                <c:pt idx="23">
                  <c:v>45233</c:v>
                </c:pt>
                <c:pt idx="24">
                  <c:v>45206</c:v>
                </c:pt>
                <c:pt idx="25">
                  <c:v>45172</c:v>
                </c:pt>
                <c:pt idx="26">
                  <c:v>45138</c:v>
                </c:pt>
                <c:pt idx="27">
                  <c:v>45111</c:v>
                </c:pt>
                <c:pt idx="28">
                  <c:v>45077</c:v>
                </c:pt>
                <c:pt idx="29">
                  <c:v>45051</c:v>
                </c:pt>
                <c:pt idx="30">
                  <c:v>45018</c:v>
                </c:pt>
                <c:pt idx="31">
                  <c:v>44989</c:v>
                </c:pt>
                <c:pt idx="32">
                  <c:v>44966</c:v>
                </c:pt>
                <c:pt idx="33">
                  <c:v>44934</c:v>
                </c:pt>
                <c:pt idx="34">
                  <c:v>44906</c:v>
                </c:pt>
                <c:pt idx="35">
                  <c:v>44870</c:v>
                </c:pt>
                <c:pt idx="36">
                  <c:v>44844</c:v>
                </c:pt>
                <c:pt idx="37">
                  <c:v>44804</c:v>
                </c:pt>
                <c:pt idx="38">
                  <c:v>44781</c:v>
                </c:pt>
                <c:pt idx="39">
                  <c:v>44746</c:v>
                </c:pt>
                <c:pt idx="40">
                  <c:v>44709</c:v>
                </c:pt>
                <c:pt idx="41">
                  <c:v>44680</c:v>
                </c:pt>
                <c:pt idx="42">
                  <c:v>44640</c:v>
                </c:pt>
                <c:pt idx="43">
                  <c:v>44590</c:v>
                </c:pt>
                <c:pt idx="44">
                  <c:v>44560</c:v>
                </c:pt>
                <c:pt idx="45">
                  <c:v>44534</c:v>
                </c:pt>
                <c:pt idx="46">
                  <c:v>42448</c:v>
                </c:pt>
                <c:pt idx="47">
                  <c:v>42330</c:v>
                </c:pt>
                <c:pt idx="48">
                  <c:v>42203</c:v>
                </c:pt>
                <c:pt idx="49">
                  <c:v>42141</c:v>
                </c:pt>
                <c:pt idx="50">
                  <c:v>42050</c:v>
                </c:pt>
                <c:pt idx="51">
                  <c:v>41987</c:v>
                </c:pt>
                <c:pt idx="52">
                  <c:v>41921</c:v>
                </c:pt>
                <c:pt idx="53">
                  <c:v>41896</c:v>
                </c:pt>
                <c:pt idx="54">
                  <c:v>41861</c:v>
                </c:pt>
                <c:pt idx="55">
                  <c:v>41833</c:v>
                </c:pt>
                <c:pt idx="56">
                  <c:v>41799</c:v>
                </c:pt>
                <c:pt idx="57">
                  <c:v>41766</c:v>
                </c:pt>
                <c:pt idx="58">
                  <c:v>41735</c:v>
                </c:pt>
                <c:pt idx="59">
                  <c:v>41703</c:v>
                </c:pt>
                <c:pt idx="60">
                  <c:v>41673</c:v>
                </c:pt>
                <c:pt idx="61">
                  <c:v>41651</c:v>
                </c:pt>
                <c:pt idx="62">
                  <c:v>41611</c:v>
                </c:pt>
                <c:pt idx="63">
                  <c:v>41584</c:v>
                </c:pt>
                <c:pt idx="64">
                  <c:v>41550</c:v>
                </c:pt>
                <c:pt idx="65">
                  <c:v>41520</c:v>
                </c:pt>
                <c:pt idx="66">
                  <c:v>41495</c:v>
                </c:pt>
                <c:pt idx="67">
                  <c:v>41459</c:v>
                </c:pt>
                <c:pt idx="68">
                  <c:v>41431</c:v>
                </c:pt>
                <c:pt idx="69">
                  <c:v>41398</c:v>
                </c:pt>
              </c:numCache>
            </c:numRef>
          </c:cat>
          <c:val>
            <c:numRef>
              <c:f>일별!$F$2:$F$71</c:f>
              <c:numCache>
                <c:formatCode>_(* #,##0_);_(* \(#,##0\);_(* "-"_);_(@_)</c:formatCode>
                <c:ptCount val="70"/>
                <c:pt idx="0">
                  <c:v>83050</c:v>
                </c:pt>
                <c:pt idx="1">
                  <c:v>59611</c:v>
                </c:pt>
                <c:pt idx="2">
                  <c:v>47616</c:v>
                </c:pt>
                <c:pt idx="3">
                  <c:v>22251.875</c:v>
                </c:pt>
                <c:pt idx="4">
                  <c:v>21077</c:v>
                </c:pt>
                <c:pt idx="5">
                  <c:v>18580</c:v>
                </c:pt>
                <c:pt idx="6">
                  <c:v>17245</c:v>
                </c:pt>
                <c:pt idx="7">
                  <c:v>9060</c:v>
                </c:pt>
                <c:pt idx="8">
                  <c:v>8767</c:v>
                </c:pt>
                <c:pt idx="9">
                  <c:v>7520</c:v>
                </c:pt>
                <c:pt idx="10">
                  <c:v>7681</c:v>
                </c:pt>
                <c:pt idx="11">
                  <c:v>6340</c:v>
                </c:pt>
                <c:pt idx="12">
                  <c:v>5652</c:v>
                </c:pt>
                <c:pt idx="13">
                  <c:v>6139</c:v>
                </c:pt>
                <c:pt idx="14">
                  <c:v>6186</c:v>
                </c:pt>
                <c:pt idx="15">
                  <c:v>5769</c:v>
                </c:pt>
                <c:pt idx="16">
                  <c:v>6685</c:v>
                </c:pt>
                <c:pt idx="17">
                  <c:v>5683</c:v>
                </c:pt>
                <c:pt idx="18">
                  <c:v>4993</c:v>
                </c:pt>
                <c:pt idx="19">
                  <c:v>4159</c:v>
                </c:pt>
                <c:pt idx="20">
                  <c:v>4232</c:v>
                </c:pt>
                <c:pt idx="21">
                  <c:v>4195</c:v>
                </c:pt>
                <c:pt idx="22">
                  <c:v>3792</c:v>
                </c:pt>
                <c:pt idx="23">
                  <c:v>3428</c:v>
                </c:pt>
                <c:pt idx="24">
                  <c:v>3241</c:v>
                </c:pt>
                <c:pt idx="25">
                  <c:v>3812</c:v>
                </c:pt>
                <c:pt idx="26">
                  <c:v>3441</c:v>
                </c:pt>
                <c:pt idx="27">
                  <c:v>3213</c:v>
                </c:pt>
                <c:pt idx="28">
                  <c:v>2810</c:v>
                </c:pt>
                <c:pt idx="29">
                  <c:v>2406</c:v>
                </c:pt>
                <c:pt idx="30">
                  <c:v>2417</c:v>
                </c:pt>
                <c:pt idx="31">
                  <c:v>1928</c:v>
                </c:pt>
                <c:pt idx="32">
                  <c:v>1891</c:v>
                </c:pt>
                <c:pt idx="33">
                  <c:v>1885</c:v>
                </c:pt>
                <c:pt idx="34">
                  <c:v>1930</c:v>
                </c:pt>
                <c:pt idx="35">
                  <c:v>1999</c:v>
                </c:pt>
                <c:pt idx="36">
                  <c:v>2353</c:v>
                </c:pt>
                <c:pt idx="37">
                  <c:v>2024</c:v>
                </c:pt>
                <c:pt idx="38">
                  <c:v>1777</c:v>
                </c:pt>
                <c:pt idx="39">
                  <c:v>1597</c:v>
                </c:pt>
                <c:pt idx="40">
                  <c:v>1602</c:v>
                </c:pt>
                <c:pt idx="41">
                  <c:v>1627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B0-419E-B23E-3D1B5DBEA4D3}"/>
            </c:ext>
          </c:extLst>
        </c:ser>
        <c:ser>
          <c:idx val="4"/>
          <c:order val="4"/>
          <c:tx>
            <c:strRef>
              <c:f>일별!$G$1</c:f>
              <c:strCache>
                <c:ptCount val="1"/>
                <c:pt idx="0">
                  <c:v>휴이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일별!$B$2:$B$71</c:f>
              <c:numCache>
                <c:formatCode>m/d/yyyy</c:formatCode>
                <c:ptCount val="70"/>
                <c:pt idx="0">
                  <c:v>46171</c:v>
                </c:pt>
                <c:pt idx="1">
                  <c:v>46142</c:v>
                </c:pt>
                <c:pt idx="2">
                  <c:v>46080</c:v>
                </c:pt>
                <c:pt idx="3">
                  <c:v>46027</c:v>
                </c:pt>
                <c:pt idx="4">
                  <c:v>45990</c:v>
                </c:pt>
                <c:pt idx="5">
                  <c:v>45928</c:v>
                </c:pt>
                <c:pt idx="6">
                  <c:v>45870</c:v>
                </c:pt>
                <c:pt idx="7">
                  <c:v>45809</c:v>
                </c:pt>
                <c:pt idx="8">
                  <c:v>45746</c:v>
                </c:pt>
                <c:pt idx="9">
                  <c:v>45689</c:v>
                </c:pt>
                <c:pt idx="10">
                  <c:v>45658</c:v>
                </c:pt>
                <c:pt idx="11">
                  <c:v>45630</c:v>
                </c:pt>
                <c:pt idx="12">
                  <c:v>45601</c:v>
                </c:pt>
                <c:pt idx="13">
                  <c:v>45571</c:v>
                </c:pt>
                <c:pt idx="14">
                  <c:v>45535</c:v>
                </c:pt>
                <c:pt idx="15">
                  <c:v>45480</c:v>
                </c:pt>
                <c:pt idx="16">
                  <c:v>45449</c:v>
                </c:pt>
                <c:pt idx="17">
                  <c:v>45414</c:v>
                </c:pt>
                <c:pt idx="18">
                  <c:v>45384</c:v>
                </c:pt>
                <c:pt idx="19">
                  <c:v>45352</c:v>
                </c:pt>
                <c:pt idx="20">
                  <c:v>45323</c:v>
                </c:pt>
                <c:pt idx="21">
                  <c:v>45295</c:v>
                </c:pt>
                <c:pt idx="22">
                  <c:v>45262</c:v>
                </c:pt>
                <c:pt idx="23">
                  <c:v>45233</c:v>
                </c:pt>
                <c:pt idx="24">
                  <c:v>45206</c:v>
                </c:pt>
                <c:pt idx="25">
                  <c:v>45172</c:v>
                </c:pt>
                <c:pt idx="26">
                  <c:v>45138</c:v>
                </c:pt>
                <c:pt idx="27">
                  <c:v>45111</c:v>
                </c:pt>
                <c:pt idx="28">
                  <c:v>45077</c:v>
                </c:pt>
                <c:pt idx="29">
                  <c:v>45051</c:v>
                </c:pt>
                <c:pt idx="30">
                  <c:v>45018</c:v>
                </c:pt>
                <c:pt idx="31">
                  <c:v>44989</c:v>
                </c:pt>
                <c:pt idx="32">
                  <c:v>44966</c:v>
                </c:pt>
                <c:pt idx="33">
                  <c:v>44934</c:v>
                </c:pt>
                <c:pt idx="34">
                  <c:v>44906</c:v>
                </c:pt>
                <c:pt idx="35">
                  <c:v>44870</c:v>
                </c:pt>
                <c:pt idx="36">
                  <c:v>44844</c:v>
                </c:pt>
                <c:pt idx="37">
                  <c:v>44804</c:v>
                </c:pt>
                <c:pt idx="38">
                  <c:v>44781</c:v>
                </c:pt>
                <c:pt idx="39">
                  <c:v>44746</c:v>
                </c:pt>
                <c:pt idx="40">
                  <c:v>44709</c:v>
                </c:pt>
                <c:pt idx="41">
                  <c:v>44680</c:v>
                </c:pt>
                <c:pt idx="42">
                  <c:v>44640</c:v>
                </c:pt>
                <c:pt idx="43">
                  <c:v>44590</c:v>
                </c:pt>
                <c:pt idx="44">
                  <c:v>44560</c:v>
                </c:pt>
                <c:pt idx="45">
                  <c:v>44534</c:v>
                </c:pt>
                <c:pt idx="46">
                  <c:v>42448</c:v>
                </c:pt>
                <c:pt idx="47">
                  <c:v>42330</c:v>
                </c:pt>
                <c:pt idx="48">
                  <c:v>42203</c:v>
                </c:pt>
                <c:pt idx="49">
                  <c:v>42141</c:v>
                </c:pt>
                <c:pt idx="50">
                  <c:v>42050</c:v>
                </c:pt>
                <c:pt idx="51">
                  <c:v>41987</c:v>
                </c:pt>
                <c:pt idx="52">
                  <c:v>41921</c:v>
                </c:pt>
                <c:pt idx="53">
                  <c:v>41896</c:v>
                </c:pt>
                <c:pt idx="54">
                  <c:v>41861</c:v>
                </c:pt>
                <c:pt idx="55">
                  <c:v>41833</c:v>
                </c:pt>
                <c:pt idx="56">
                  <c:v>41799</c:v>
                </c:pt>
                <c:pt idx="57">
                  <c:v>41766</c:v>
                </c:pt>
                <c:pt idx="58">
                  <c:v>41735</c:v>
                </c:pt>
                <c:pt idx="59">
                  <c:v>41703</c:v>
                </c:pt>
                <c:pt idx="60">
                  <c:v>41673</c:v>
                </c:pt>
                <c:pt idx="61">
                  <c:v>41651</c:v>
                </c:pt>
                <c:pt idx="62">
                  <c:v>41611</c:v>
                </c:pt>
                <c:pt idx="63">
                  <c:v>41584</c:v>
                </c:pt>
                <c:pt idx="64">
                  <c:v>41550</c:v>
                </c:pt>
                <c:pt idx="65">
                  <c:v>41520</c:v>
                </c:pt>
                <c:pt idx="66">
                  <c:v>41495</c:v>
                </c:pt>
                <c:pt idx="67">
                  <c:v>41459</c:v>
                </c:pt>
                <c:pt idx="68">
                  <c:v>41431</c:v>
                </c:pt>
                <c:pt idx="69">
                  <c:v>41398</c:v>
                </c:pt>
              </c:numCache>
            </c:numRef>
          </c:cat>
          <c:val>
            <c:numRef>
              <c:f>일별!$G$2:$G$71</c:f>
              <c:numCache>
                <c:formatCode>_(* #,##0_);_(* \(#,##0\);_(* "-"_);_(@_)</c:formatCode>
                <c:ptCount val="70"/>
                <c:pt idx="0">
                  <c:v>5339</c:v>
                </c:pt>
                <c:pt idx="1">
                  <c:v>4495</c:v>
                </c:pt>
                <c:pt idx="2">
                  <c:v>3232</c:v>
                </c:pt>
                <c:pt idx="3">
                  <c:v>2085</c:v>
                </c:pt>
                <c:pt idx="4">
                  <c:v>2136</c:v>
                </c:pt>
                <c:pt idx="5">
                  <c:v>2118</c:v>
                </c:pt>
                <c:pt idx="6">
                  <c:v>2097</c:v>
                </c:pt>
                <c:pt idx="7">
                  <c:v>1984</c:v>
                </c:pt>
                <c:pt idx="8">
                  <c:v>2095</c:v>
                </c:pt>
                <c:pt idx="9">
                  <c:v>2052</c:v>
                </c:pt>
                <c:pt idx="10">
                  <c:v>2095</c:v>
                </c:pt>
                <c:pt idx="11">
                  <c:v>2000</c:v>
                </c:pt>
                <c:pt idx="12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B0-419E-B23E-3D1B5DBEA4D3}"/>
            </c:ext>
          </c:extLst>
        </c:ser>
        <c:ser>
          <c:idx val="6"/>
          <c:order val="5"/>
          <c:tx>
            <c:strRef>
              <c:f>일별!$H$1</c:f>
              <c:strCache>
                <c:ptCount val="1"/>
                <c:pt idx="0">
                  <c:v>순자산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  <a:effectLst>
                <a:glow rad="63500">
                  <a:schemeClr val="accent1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일별!$B$2:$B$71</c:f>
              <c:numCache>
                <c:formatCode>m/d/yyyy</c:formatCode>
                <c:ptCount val="70"/>
                <c:pt idx="0">
                  <c:v>46171</c:v>
                </c:pt>
                <c:pt idx="1">
                  <c:v>46142</c:v>
                </c:pt>
                <c:pt idx="2">
                  <c:v>46080</c:v>
                </c:pt>
                <c:pt idx="3">
                  <c:v>46027</c:v>
                </c:pt>
                <c:pt idx="4">
                  <c:v>45990</c:v>
                </c:pt>
                <c:pt idx="5">
                  <c:v>45928</c:v>
                </c:pt>
                <c:pt idx="6">
                  <c:v>45870</c:v>
                </c:pt>
                <c:pt idx="7">
                  <c:v>45809</c:v>
                </c:pt>
                <c:pt idx="8">
                  <c:v>45746</c:v>
                </c:pt>
                <c:pt idx="9">
                  <c:v>45689</c:v>
                </c:pt>
                <c:pt idx="10">
                  <c:v>45658</c:v>
                </c:pt>
                <c:pt idx="11">
                  <c:v>45630</c:v>
                </c:pt>
                <c:pt idx="12">
                  <c:v>45601</c:v>
                </c:pt>
                <c:pt idx="13">
                  <c:v>45571</c:v>
                </c:pt>
                <c:pt idx="14">
                  <c:v>45535</c:v>
                </c:pt>
                <c:pt idx="15">
                  <c:v>45480</c:v>
                </c:pt>
                <c:pt idx="16">
                  <c:v>45449</c:v>
                </c:pt>
                <c:pt idx="17">
                  <c:v>45414</c:v>
                </c:pt>
                <c:pt idx="18">
                  <c:v>45384</c:v>
                </c:pt>
                <c:pt idx="19">
                  <c:v>45352</c:v>
                </c:pt>
                <c:pt idx="20">
                  <c:v>45323</c:v>
                </c:pt>
                <c:pt idx="21">
                  <c:v>45295</c:v>
                </c:pt>
                <c:pt idx="22">
                  <c:v>45262</c:v>
                </c:pt>
                <c:pt idx="23">
                  <c:v>45233</c:v>
                </c:pt>
                <c:pt idx="24">
                  <c:v>45206</c:v>
                </c:pt>
                <c:pt idx="25">
                  <c:v>45172</c:v>
                </c:pt>
                <c:pt idx="26">
                  <c:v>45138</c:v>
                </c:pt>
                <c:pt idx="27">
                  <c:v>45111</c:v>
                </c:pt>
                <c:pt idx="28">
                  <c:v>45077</c:v>
                </c:pt>
                <c:pt idx="29">
                  <c:v>45051</c:v>
                </c:pt>
                <c:pt idx="30">
                  <c:v>45018</c:v>
                </c:pt>
                <c:pt idx="31">
                  <c:v>44989</c:v>
                </c:pt>
                <c:pt idx="32">
                  <c:v>44966</c:v>
                </c:pt>
                <c:pt idx="33">
                  <c:v>44934</c:v>
                </c:pt>
                <c:pt idx="34">
                  <c:v>44906</c:v>
                </c:pt>
                <c:pt idx="35">
                  <c:v>44870</c:v>
                </c:pt>
                <c:pt idx="36">
                  <c:v>44844</c:v>
                </c:pt>
                <c:pt idx="37">
                  <c:v>44804</c:v>
                </c:pt>
                <c:pt idx="38">
                  <c:v>44781</c:v>
                </c:pt>
                <c:pt idx="39">
                  <c:v>44746</c:v>
                </c:pt>
                <c:pt idx="40">
                  <c:v>44709</c:v>
                </c:pt>
                <c:pt idx="41">
                  <c:v>44680</c:v>
                </c:pt>
                <c:pt idx="42">
                  <c:v>44640</c:v>
                </c:pt>
                <c:pt idx="43">
                  <c:v>44590</c:v>
                </c:pt>
                <c:pt idx="44">
                  <c:v>44560</c:v>
                </c:pt>
                <c:pt idx="45">
                  <c:v>44534</c:v>
                </c:pt>
                <c:pt idx="46">
                  <c:v>42448</c:v>
                </c:pt>
                <c:pt idx="47">
                  <c:v>42330</c:v>
                </c:pt>
                <c:pt idx="48">
                  <c:v>42203</c:v>
                </c:pt>
                <c:pt idx="49">
                  <c:v>42141</c:v>
                </c:pt>
                <c:pt idx="50">
                  <c:v>42050</c:v>
                </c:pt>
                <c:pt idx="51">
                  <c:v>41987</c:v>
                </c:pt>
                <c:pt idx="52">
                  <c:v>41921</c:v>
                </c:pt>
                <c:pt idx="53">
                  <c:v>41896</c:v>
                </c:pt>
                <c:pt idx="54">
                  <c:v>41861</c:v>
                </c:pt>
                <c:pt idx="55">
                  <c:v>41833</c:v>
                </c:pt>
                <c:pt idx="56">
                  <c:v>41799</c:v>
                </c:pt>
                <c:pt idx="57">
                  <c:v>41766</c:v>
                </c:pt>
                <c:pt idx="58">
                  <c:v>41735</c:v>
                </c:pt>
                <c:pt idx="59">
                  <c:v>41703</c:v>
                </c:pt>
                <c:pt idx="60">
                  <c:v>41673</c:v>
                </c:pt>
                <c:pt idx="61">
                  <c:v>41651</c:v>
                </c:pt>
                <c:pt idx="62">
                  <c:v>41611</c:v>
                </c:pt>
                <c:pt idx="63">
                  <c:v>41584</c:v>
                </c:pt>
                <c:pt idx="64">
                  <c:v>41550</c:v>
                </c:pt>
                <c:pt idx="65">
                  <c:v>41520</c:v>
                </c:pt>
                <c:pt idx="66">
                  <c:v>41495</c:v>
                </c:pt>
                <c:pt idx="67">
                  <c:v>41459</c:v>
                </c:pt>
                <c:pt idx="68">
                  <c:v>41431</c:v>
                </c:pt>
                <c:pt idx="69">
                  <c:v>41398</c:v>
                </c:pt>
              </c:numCache>
            </c:numRef>
          </c:cat>
          <c:val>
            <c:numRef>
              <c:f>일별!$H$2:$H$71</c:f>
              <c:numCache>
                <c:formatCode>_(* #,##0_);_(* \(#,##0\);_(* "-"_);_(@_)</c:formatCode>
                <c:ptCount val="70"/>
                <c:pt idx="0">
                  <c:v>193899</c:v>
                </c:pt>
                <c:pt idx="1">
                  <c:v>172587</c:v>
                </c:pt>
                <c:pt idx="2">
                  <c:v>165609</c:v>
                </c:pt>
                <c:pt idx="3">
                  <c:v>148283.875</c:v>
                </c:pt>
                <c:pt idx="4">
                  <c:v>138719</c:v>
                </c:pt>
                <c:pt idx="5">
                  <c:v>135287</c:v>
                </c:pt>
                <c:pt idx="6">
                  <c:v>133233</c:v>
                </c:pt>
                <c:pt idx="7">
                  <c:v>129416.1</c:v>
                </c:pt>
                <c:pt idx="8">
                  <c:v>127142</c:v>
                </c:pt>
                <c:pt idx="9">
                  <c:v>125987</c:v>
                </c:pt>
                <c:pt idx="10">
                  <c:v>124373</c:v>
                </c:pt>
                <c:pt idx="11">
                  <c:v>121550</c:v>
                </c:pt>
                <c:pt idx="12">
                  <c:v>120122</c:v>
                </c:pt>
                <c:pt idx="13">
                  <c:v>118821</c:v>
                </c:pt>
                <c:pt idx="14">
                  <c:v>118148</c:v>
                </c:pt>
                <c:pt idx="15">
                  <c:v>116860</c:v>
                </c:pt>
                <c:pt idx="16">
                  <c:v>116258</c:v>
                </c:pt>
                <c:pt idx="17">
                  <c:v>115641</c:v>
                </c:pt>
                <c:pt idx="18">
                  <c:v>114590</c:v>
                </c:pt>
                <c:pt idx="19">
                  <c:v>112594</c:v>
                </c:pt>
                <c:pt idx="20">
                  <c:v>111873</c:v>
                </c:pt>
                <c:pt idx="21">
                  <c:v>110424</c:v>
                </c:pt>
                <c:pt idx="22">
                  <c:v>109355</c:v>
                </c:pt>
                <c:pt idx="23">
                  <c:v>108623</c:v>
                </c:pt>
                <c:pt idx="24">
                  <c:v>108151</c:v>
                </c:pt>
                <c:pt idx="25">
                  <c:v>107467</c:v>
                </c:pt>
                <c:pt idx="26">
                  <c:v>106305</c:v>
                </c:pt>
                <c:pt idx="27">
                  <c:v>105423</c:v>
                </c:pt>
                <c:pt idx="28">
                  <c:v>104850</c:v>
                </c:pt>
                <c:pt idx="29">
                  <c:v>102084</c:v>
                </c:pt>
                <c:pt idx="30">
                  <c:v>101487</c:v>
                </c:pt>
                <c:pt idx="31">
                  <c:v>100413</c:v>
                </c:pt>
                <c:pt idx="32">
                  <c:v>100608</c:v>
                </c:pt>
                <c:pt idx="33">
                  <c:v>97342</c:v>
                </c:pt>
                <c:pt idx="34">
                  <c:v>96852</c:v>
                </c:pt>
                <c:pt idx="35">
                  <c:v>96482</c:v>
                </c:pt>
                <c:pt idx="36">
                  <c:v>95765</c:v>
                </c:pt>
                <c:pt idx="37">
                  <c:v>95337</c:v>
                </c:pt>
                <c:pt idx="38">
                  <c:v>94666</c:v>
                </c:pt>
                <c:pt idx="39">
                  <c:v>93533</c:v>
                </c:pt>
                <c:pt idx="40">
                  <c:v>92920</c:v>
                </c:pt>
                <c:pt idx="41">
                  <c:v>91023</c:v>
                </c:pt>
                <c:pt idx="42">
                  <c:v>90058</c:v>
                </c:pt>
                <c:pt idx="43">
                  <c:v>89141</c:v>
                </c:pt>
                <c:pt idx="44">
                  <c:v>84503</c:v>
                </c:pt>
                <c:pt idx="45">
                  <c:v>82156</c:v>
                </c:pt>
                <c:pt idx="46">
                  <c:v>43027</c:v>
                </c:pt>
                <c:pt idx="47">
                  <c:v>38654</c:v>
                </c:pt>
                <c:pt idx="48">
                  <c:v>36851</c:v>
                </c:pt>
                <c:pt idx="49">
                  <c:v>34602.400000000001</c:v>
                </c:pt>
                <c:pt idx="50">
                  <c:v>32865.699999999997</c:v>
                </c:pt>
                <c:pt idx="51">
                  <c:v>29018.1</c:v>
                </c:pt>
                <c:pt idx="52">
                  <c:v>28403.780000000002</c:v>
                </c:pt>
                <c:pt idx="53">
                  <c:v>27922.760000000002</c:v>
                </c:pt>
                <c:pt idx="54">
                  <c:v>27369.039999999997</c:v>
                </c:pt>
                <c:pt idx="55">
                  <c:v>26831.320000000003</c:v>
                </c:pt>
                <c:pt idx="56">
                  <c:v>25975</c:v>
                </c:pt>
                <c:pt idx="57">
                  <c:v>25419</c:v>
                </c:pt>
                <c:pt idx="58">
                  <c:v>25287</c:v>
                </c:pt>
                <c:pt idx="59">
                  <c:v>24682</c:v>
                </c:pt>
                <c:pt idx="60">
                  <c:v>24007</c:v>
                </c:pt>
                <c:pt idx="61">
                  <c:v>22098</c:v>
                </c:pt>
                <c:pt idx="62">
                  <c:v>21634</c:v>
                </c:pt>
                <c:pt idx="63">
                  <c:v>21188</c:v>
                </c:pt>
                <c:pt idx="64">
                  <c:v>20769</c:v>
                </c:pt>
                <c:pt idx="65">
                  <c:v>19291</c:v>
                </c:pt>
                <c:pt idx="66">
                  <c:v>18832</c:v>
                </c:pt>
                <c:pt idx="67">
                  <c:v>18127</c:v>
                </c:pt>
                <c:pt idx="68">
                  <c:v>14337</c:v>
                </c:pt>
                <c:pt idx="69">
                  <c:v>13812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B0-419E-B23E-3D1B5DBEA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65632"/>
        <c:axId val="101148928"/>
      </c:lineChart>
      <c:dateAx>
        <c:axId val="12416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48928"/>
        <c:crosses val="autoZero"/>
        <c:auto val="1"/>
        <c:lblOffset val="100"/>
        <c:baseTimeUnit val="days"/>
      </c:dateAx>
      <c:valAx>
        <c:axId val="10114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/>
                  <a:t>만원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416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영석연봉!$D$1</c:f>
              <c:strCache>
                <c:ptCount val="1"/>
                <c:pt idx="0">
                  <c:v>총연봉 상승률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영석연봉!$B$2:$B$14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영석연봉!$D$2:$D$13</c:f>
              <c:numCache>
                <c:formatCode>0.00%</c:formatCode>
                <c:ptCount val="12"/>
                <c:pt idx="0" formatCode="0%">
                  <c:v>0</c:v>
                </c:pt>
                <c:pt idx="1">
                  <c:v>8.2142857142857073E-2</c:v>
                </c:pt>
                <c:pt idx="2">
                  <c:v>0.2458745874587458</c:v>
                </c:pt>
                <c:pt idx="3">
                  <c:v>8.3002207505518788E-2</c:v>
                </c:pt>
                <c:pt idx="4">
                  <c:v>8.9808397880146718E-2</c:v>
                </c:pt>
                <c:pt idx="5">
                  <c:v>0.11154752553024361</c:v>
                </c:pt>
                <c:pt idx="6">
                  <c:v>0.20864883055695782</c:v>
                </c:pt>
                <c:pt idx="7">
                  <c:v>-6.278713629402799E-3</c:v>
                </c:pt>
                <c:pt idx="8">
                  <c:v>0.26516202244357578</c:v>
                </c:pt>
                <c:pt idx="9">
                  <c:v>8.5199211569552347E-2</c:v>
                </c:pt>
                <c:pt idx="10">
                  <c:v>8.6122448979591759E-2</c:v>
                </c:pt>
                <c:pt idx="11">
                  <c:v>3.0326944757609997E-2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33-4FB6-973C-9A996A056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4633024"/>
        <c:axId val="254639680"/>
      </c:barChart>
      <c:lineChart>
        <c:grouping val="standard"/>
        <c:varyColors val="0"/>
        <c:ser>
          <c:idx val="0"/>
          <c:order val="0"/>
          <c:tx>
            <c:strRef>
              <c:f>영석연봉!$C$1</c:f>
              <c:strCache>
                <c:ptCount val="1"/>
                <c:pt idx="0">
                  <c:v>당해연봉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영석연봉!$B$2:$B$14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영석연봉!$C$2:$C$13</c:f>
              <c:numCache>
                <c:formatCode>_(* #,##0_);_(* \(#,##0\);_(* "-"_);_(@_)</c:formatCode>
                <c:ptCount val="12"/>
                <c:pt idx="0">
                  <c:v>33600000</c:v>
                </c:pt>
                <c:pt idx="1">
                  <c:v>36360000</c:v>
                </c:pt>
                <c:pt idx="2">
                  <c:v>45300000</c:v>
                </c:pt>
                <c:pt idx="3">
                  <c:v>49060000</c:v>
                </c:pt>
                <c:pt idx="4">
                  <c:v>53466000</c:v>
                </c:pt>
                <c:pt idx="5">
                  <c:v>59430000</c:v>
                </c:pt>
                <c:pt idx="6">
                  <c:v>71830000</c:v>
                </c:pt>
                <c:pt idx="7">
                  <c:v>71379000</c:v>
                </c:pt>
                <c:pt idx="8">
                  <c:v>90306000</c:v>
                </c:pt>
                <c:pt idx="9">
                  <c:v>98000000</c:v>
                </c:pt>
                <c:pt idx="10">
                  <c:v>106440000</c:v>
                </c:pt>
                <c:pt idx="11">
                  <c:v>109668000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3-4FB6-973C-9A996A056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94992"/>
        <c:axId val="110695408"/>
      </c:lineChart>
      <c:catAx>
        <c:axId val="11069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695408"/>
        <c:crosses val="autoZero"/>
        <c:auto val="1"/>
        <c:lblAlgn val="ctr"/>
        <c:lblOffset val="100"/>
        <c:noMultiLvlLbl val="0"/>
      </c:catAx>
      <c:valAx>
        <c:axId val="11069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0694992"/>
        <c:crosses val="autoZero"/>
        <c:crossBetween val="between"/>
      </c:valAx>
      <c:valAx>
        <c:axId val="254639680"/>
        <c:scaling>
          <c:orientation val="minMax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4633024"/>
        <c:crosses val="max"/>
        <c:crossBetween val="between"/>
      </c:valAx>
      <c:catAx>
        <c:axId val="254633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4639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영석연봉!$C$1</c:f>
              <c:strCache>
                <c:ptCount val="1"/>
                <c:pt idx="0">
                  <c:v>당해연봉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영석연봉!$B$2:$B$14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영석연봉!$C$2:$C$14</c:f>
              <c:numCache>
                <c:formatCode>_(* #,##0_);_(* \(#,##0\);_(* "-"_);_(@_)</c:formatCode>
                <c:ptCount val="13"/>
                <c:pt idx="0">
                  <c:v>33600000</c:v>
                </c:pt>
                <c:pt idx="1">
                  <c:v>36360000</c:v>
                </c:pt>
                <c:pt idx="2">
                  <c:v>45300000</c:v>
                </c:pt>
                <c:pt idx="3">
                  <c:v>49060000</c:v>
                </c:pt>
                <c:pt idx="4">
                  <c:v>53466000</c:v>
                </c:pt>
                <c:pt idx="5">
                  <c:v>59430000</c:v>
                </c:pt>
                <c:pt idx="6">
                  <c:v>71830000</c:v>
                </c:pt>
                <c:pt idx="7">
                  <c:v>71379000</c:v>
                </c:pt>
                <c:pt idx="8">
                  <c:v>90306000</c:v>
                </c:pt>
                <c:pt idx="9">
                  <c:v>98000000</c:v>
                </c:pt>
                <c:pt idx="10">
                  <c:v>106440000</c:v>
                </c:pt>
                <c:pt idx="11">
                  <c:v>109668000</c:v>
                </c:pt>
                <c:pt idx="12">
                  <c:v>112980000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C-428B-A6AB-E6B8CDF37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9742944"/>
        <c:axId val="1859743360"/>
      </c:barChart>
      <c:lineChart>
        <c:grouping val="standard"/>
        <c:varyColors val="0"/>
        <c:ser>
          <c:idx val="1"/>
          <c:order val="1"/>
          <c:tx>
            <c:strRef>
              <c:f>영석연봉!$D$1</c:f>
              <c:strCache>
                <c:ptCount val="1"/>
                <c:pt idx="0">
                  <c:v>총연봉 상승률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영석연봉!$B$2:$B$14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영석연봉!$D$2:$D$14</c:f>
              <c:numCache>
                <c:formatCode>0.00%</c:formatCode>
                <c:ptCount val="13"/>
                <c:pt idx="0" formatCode="0%">
                  <c:v>0</c:v>
                </c:pt>
                <c:pt idx="1">
                  <c:v>8.2142857142857073E-2</c:v>
                </c:pt>
                <c:pt idx="2">
                  <c:v>0.2458745874587458</c:v>
                </c:pt>
                <c:pt idx="3">
                  <c:v>8.3002207505518788E-2</c:v>
                </c:pt>
                <c:pt idx="4">
                  <c:v>8.9808397880146718E-2</c:v>
                </c:pt>
                <c:pt idx="5">
                  <c:v>0.11154752553024361</c:v>
                </c:pt>
                <c:pt idx="6">
                  <c:v>0.20864883055695782</c:v>
                </c:pt>
                <c:pt idx="7">
                  <c:v>-6.278713629402799E-3</c:v>
                </c:pt>
                <c:pt idx="8">
                  <c:v>0.26516202244357578</c:v>
                </c:pt>
                <c:pt idx="9">
                  <c:v>8.5199211569552347E-2</c:v>
                </c:pt>
                <c:pt idx="10">
                  <c:v>8.6122448979591759E-2</c:v>
                </c:pt>
                <c:pt idx="11">
                  <c:v>3.0326944757609997E-2</c:v>
                </c:pt>
                <c:pt idx="12">
                  <c:v>3.0200240726556471E-2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8C-428B-A6AB-E6B8CDF37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745024"/>
        <c:axId val="1859744192"/>
      </c:lineChart>
      <c:catAx>
        <c:axId val="185974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9743360"/>
        <c:crosses val="autoZero"/>
        <c:auto val="1"/>
        <c:lblAlgn val="ctr"/>
        <c:lblOffset val="100"/>
        <c:noMultiLvlLbl val="0"/>
      </c:catAx>
      <c:valAx>
        <c:axId val="185974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9742944"/>
        <c:crosses val="autoZero"/>
        <c:crossBetween val="between"/>
      </c:valAx>
      <c:valAx>
        <c:axId val="185974419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9745024"/>
        <c:crosses val="max"/>
        <c:crossBetween val="between"/>
      </c:valAx>
      <c:catAx>
        <c:axId val="1859745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59744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val">
        <cx:f dir="row">_xlchart.v1.1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ko-KR" altLang="en-US"/>
              <a:t>자산비중</a:t>
            </a:r>
            <a:endParaRPr lang="ko-KR"/>
          </a:p>
        </cx:rich>
      </cx:tx>
    </cx:title>
    <cx:plotArea>
      <cx:plotAreaRegion>
        <cx:series layoutId="clusteredColumn" uniqueId="{27872EA7-786C-4687-91E6-36154B0326E2}">
          <cx:tx>
            <cx:txData>
              <cx:v/>
            </cx:txData>
          </cx:tx>
          <cx:dataId val="0"/>
          <cx:layoutPr>
            <cx:aggregation/>
          </cx:layoutPr>
          <cx:axisId val="1"/>
        </cx:series>
        <cx:series layoutId="paretoLine" ownerIdx="0" uniqueId="{DA0DC551-7758-4760-827B-18F16F118A80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</cx:f>
      </cx:strDim>
      <cx:numDim type="size">
        <cx:f dir="row">_xlchart.v1.3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kumimoji="0" lang="ko-KR" altLang="en-US" sz="1600" b="1" i="0" u="none" strike="noStrike" kern="1200" cap="none" spc="100" normalizeH="0" baseline="0" noProof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uLnTx/>
                <a:uFillTx/>
                <a:latin typeface="Calibri" panose="020F0502020204030204"/>
                <a:ea typeface="맑은 고딕" panose="020B0503020000020004" pitchFamily="50" charset="-127"/>
              </a:rPr>
              <a:t>자산 비중</a:t>
            </a:r>
            <a:endParaRPr lang="ko-KR"/>
          </a:p>
        </cx:rich>
      </cx:tx>
    </cx:title>
    <cx:plotArea>
      <cx:plotAreaRegion>
        <cx:series layoutId="treemap" uniqueId="{B0EB6BB4-7EE6-44A8-A430-FAA2042F36BA}">
          <cx:dataLabels pos="inEnd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85000"/>
      </a:schemeClr>
    </cs:fontRef>
    <cs:defRPr sz="9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 w="9525">
        <a:solidFill>
          <a:schemeClr val="tx1"/>
        </a:solidFill>
      </a:ln>
      <a:effectLst>
        <a:outerShdw blurRad="57150" dist="19050" dir="5400000" algn="ctr" rotWithShape="0">
          <a:srgbClr val="000000">
            <a:alpha val="63000"/>
          </a:srgb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lt1"/>
    </cs:fontRef>
  </cs:dropLine>
  <cs:errorBar>
    <cs:lnRef idx="0"/>
    <cs:fillRef idx="0"/>
    <cs:effectRef idx="0"/>
    <cs:fontRef idx="minor">
      <a:schemeClr val="lt1"/>
    </cs:fontRef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</cs:hiLoLine>
  <cs:leaderLine>
    <cs:lnRef idx="0"/>
    <cs:fillRef idx="0"/>
    <cs:effectRef idx="0"/>
    <cs:fontRef idx="minor">
      <a:schemeClr val="lt1"/>
    </cs:fontRef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lt1">
        <a:lumMod val="9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1</xdr:col>
      <xdr:colOff>2268416</xdr:colOff>
      <xdr:row>51</xdr:row>
      <xdr:rowOff>114300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38750"/>
          <a:ext cx="2954216" cy="6400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18</xdr:row>
      <xdr:rowOff>0</xdr:rowOff>
    </xdr:from>
    <xdr:to>
      <xdr:col>21</xdr:col>
      <xdr:colOff>677957</xdr:colOff>
      <xdr:row>35</xdr:row>
      <xdr:rowOff>66115</xdr:rowOff>
    </xdr:to>
    <xdr:graphicFrame macro="">
      <xdr:nvGraphicFramePr>
        <xdr:cNvPr id="9" name="차트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36</xdr:row>
      <xdr:rowOff>0</xdr:rowOff>
    </xdr:from>
    <xdr:to>
      <xdr:col>20</xdr:col>
      <xdr:colOff>11206</xdr:colOff>
      <xdr:row>52</xdr:row>
      <xdr:rowOff>190501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차트 9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12</xdr:col>
      <xdr:colOff>0</xdr:colOff>
      <xdr:row>54</xdr:row>
      <xdr:rowOff>0</xdr:rowOff>
    </xdr:from>
    <xdr:to>
      <xdr:col>21</xdr:col>
      <xdr:colOff>0</xdr:colOff>
      <xdr:row>71</xdr:row>
      <xdr:rowOff>189382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차트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</xdr:col>
      <xdr:colOff>9525</xdr:colOff>
      <xdr:row>16</xdr:row>
      <xdr:rowOff>38100</xdr:rowOff>
    </xdr:from>
    <xdr:to>
      <xdr:col>8</xdr:col>
      <xdr:colOff>895350</xdr:colOff>
      <xdr:row>42</xdr:row>
      <xdr:rowOff>190500</xdr:rowOff>
    </xdr:to>
    <xdr:graphicFrame macro="">
      <xdr:nvGraphicFramePr>
        <xdr:cNvPr id="7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15</xdr:row>
      <xdr:rowOff>4762</xdr:rowOff>
    </xdr:from>
    <xdr:to>
      <xdr:col>9</xdr:col>
      <xdr:colOff>342900</xdr:colOff>
      <xdr:row>33</xdr:row>
      <xdr:rowOff>76200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9524</xdr:colOff>
      <xdr:row>15</xdr:row>
      <xdr:rowOff>23811</xdr:rowOff>
    </xdr:from>
    <xdr:to>
      <xdr:col>19</xdr:col>
      <xdr:colOff>123825</xdr:colOff>
      <xdr:row>33</xdr:row>
      <xdr:rowOff>123824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8"/>
  <sheetViews>
    <sheetView zoomScaleNormal="100" workbookViewId="0">
      <selection activeCell="A2" sqref="A2:C18"/>
    </sheetView>
  </sheetViews>
  <sheetFormatPr defaultRowHeight="16.5" x14ac:dyDescent="0.3"/>
  <cols>
    <col min="2" max="2" width="32.75" customWidth="1"/>
    <col min="3" max="3" width="13" customWidth="1"/>
    <col min="4" max="4" width="7.625" customWidth="1"/>
    <col min="5" max="5" width="10.5" customWidth="1"/>
    <col min="6" max="6" width="9.375" bestFit="1" customWidth="1"/>
    <col min="7" max="8" width="7.125" bestFit="1" customWidth="1"/>
    <col min="15" max="15" width="5.25" bestFit="1" customWidth="1"/>
  </cols>
  <sheetData>
    <row r="2" spans="1:15" x14ac:dyDescent="0.3">
      <c r="A2" s="3" t="s">
        <v>20</v>
      </c>
      <c r="B2" s="3" t="s">
        <v>9</v>
      </c>
      <c r="C2" s="20">
        <v>60500</v>
      </c>
      <c r="D2" s="1"/>
      <c r="E2" s="3" t="s">
        <v>11</v>
      </c>
      <c r="F2" s="15">
        <f>C2</f>
        <v>60500</v>
      </c>
    </row>
    <row r="3" spans="1:15" x14ac:dyDescent="0.3">
      <c r="A3" s="46" t="s">
        <v>18</v>
      </c>
      <c r="B3" s="3" t="s">
        <v>118</v>
      </c>
      <c r="C3" s="20">
        <v>1412</v>
      </c>
      <c r="D3" s="1"/>
      <c r="E3" s="3" t="s">
        <v>13</v>
      </c>
      <c r="F3" s="15">
        <f>SUM(C3:C8)</f>
        <v>7374</v>
      </c>
    </row>
    <row r="4" spans="1:15" x14ac:dyDescent="0.3">
      <c r="A4" s="46"/>
      <c r="B4" s="3" t="s">
        <v>119</v>
      </c>
      <c r="C4" s="20">
        <v>2000</v>
      </c>
      <c r="E4" s="11" t="s">
        <v>17</v>
      </c>
      <c r="F4" s="15">
        <f>C9+C10+C11</f>
        <v>37636</v>
      </c>
      <c r="H4" s="16"/>
      <c r="I4" s="16"/>
      <c r="J4" s="16"/>
      <c r="K4" s="16"/>
      <c r="L4" s="16"/>
      <c r="M4" s="16"/>
      <c r="N4" s="16"/>
      <c r="O4" s="16"/>
    </row>
    <row r="5" spans="1:15" x14ac:dyDescent="0.3">
      <c r="A5" s="46"/>
      <c r="B5" s="3" t="s">
        <v>117</v>
      </c>
      <c r="C5" s="20">
        <v>229</v>
      </c>
      <c r="E5" s="3" t="s">
        <v>120</v>
      </c>
      <c r="F5" s="15">
        <f>SUM(C12:C17)-4000</f>
        <v>83050</v>
      </c>
    </row>
    <row r="6" spans="1:15" x14ac:dyDescent="0.3">
      <c r="A6" s="46"/>
      <c r="B6" s="3" t="s">
        <v>116</v>
      </c>
      <c r="C6" s="20">
        <v>640</v>
      </c>
      <c r="E6" s="3" t="s">
        <v>24</v>
      </c>
      <c r="F6" s="15">
        <f>C18</f>
        <v>5339</v>
      </c>
    </row>
    <row r="7" spans="1:15" x14ac:dyDescent="0.3">
      <c r="A7" s="46"/>
      <c r="B7" s="3" t="s">
        <v>6</v>
      </c>
      <c r="C7" s="20">
        <v>689</v>
      </c>
      <c r="E7" s="3" t="s">
        <v>0</v>
      </c>
      <c r="F7" s="15">
        <f>SUM(F2:F6)</f>
        <v>193899</v>
      </c>
    </row>
    <row r="8" spans="1:15" x14ac:dyDescent="0.3">
      <c r="A8" s="46"/>
      <c r="B8" s="3" t="s">
        <v>101</v>
      </c>
      <c r="C8" s="20">
        <v>2404</v>
      </c>
    </row>
    <row r="9" spans="1:15" x14ac:dyDescent="0.3">
      <c r="A9" s="47" t="s">
        <v>19</v>
      </c>
      <c r="B9" s="3" t="s">
        <v>102</v>
      </c>
      <c r="C9" s="20">
        <v>2059</v>
      </c>
    </row>
    <row r="10" spans="1:15" ht="33" x14ac:dyDescent="0.3">
      <c r="A10" s="48"/>
      <c r="B10" s="39" t="s">
        <v>109</v>
      </c>
      <c r="C10" s="20">
        <v>29604</v>
      </c>
    </row>
    <row r="11" spans="1:15" x14ac:dyDescent="0.3">
      <c r="A11" s="49"/>
      <c r="B11" s="3" t="s">
        <v>100</v>
      </c>
      <c r="C11" s="20">
        <v>5973</v>
      </c>
    </row>
    <row r="12" spans="1:15" x14ac:dyDescent="0.3">
      <c r="A12" s="47" t="s">
        <v>104</v>
      </c>
      <c r="B12" s="11" t="s">
        <v>114</v>
      </c>
      <c r="C12" s="20">
        <v>0</v>
      </c>
    </row>
    <row r="13" spans="1:15" x14ac:dyDescent="0.3">
      <c r="A13" s="48"/>
      <c r="B13" s="11" t="s">
        <v>115</v>
      </c>
      <c r="C13" s="20">
        <v>76966</v>
      </c>
    </row>
    <row r="14" spans="1:15" x14ac:dyDescent="0.3">
      <c r="A14" s="48"/>
      <c r="B14" s="3" t="s">
        <v>105</v>
      </c>
      <c r="C14" s="20">
        <v>953</v>
      </c>
    </row>
    <row r="15" spans="1:15" x14ac:dyDescent="0.3">
      <c r="A15" s="48"/>
      <c r="B15" s="3" t="s">
        <v>106</v>
      </c>
      <c r="C15" s="20">
        <v>7772</v>
      </c>
    </row>
    <row r="16" spans="1:15" x14ac:dyDescent="0.3">
      <c r="A16" s="48"/>
      <c r="B16" s="3" t="s">
        <v>113</v>
      </c>
      <c r="C16" s="20">
        <v>1359</v>
      </c>
    </row>
    <row r="17" spans="1:3" x14ac:dyDescent="0.3">
      <c r="A17" s="49"/>
      <c r="B17" s="11" t="s">
        <v>21</v>
      </c>
      <c r="C17" s="20">
        <v>0</v>
      </c>
    </row>
    <row r="18" spans="1:3" x14ac:dyDescent="0.3">
      <c r="A18" s="37" t="s">
        <v>107</v>
      </c>
      <c r="B18" s="11" t="s">
        <v>23</v>
      </c>
      <c r="C18" s="20">
        <v>5339</v>
      </c>
    </row>
  </sheetData>
  <mergeCells count="3">
    <mergeCell ref="A3:A8"/>
    <mergeCell ref="A9:A11"/>
    <mergeCell ref="A12:A1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71"/>
  <sheetViews>
    <sheetView zoomScaleNormal="100" workbookViewId="0">
      <selection activeCell="I2" sqref="I2"/>
    </sheetView>
  </sheetViews>
  <sheetFormatPr defaultRowHeight="16.5" x14ac:dyDescent="0.3"/>
  <cols>
    <col min="2" max="2" width="11.125" customWidth="1"/>
    <col min="3" max="6" width="9.375" style="19" bestFit="1" customWidth="1"/>
    <col min="7" max="7" width="9.375" style="19" customWidth="1"/>
    <col min="8" max="8" width="10.375" style="19" bestFit="1" customWidth="1"/>
    <col min="9" max="9" width="12" customWidth="1"/>
    <col min="15" max="15" width="11" customWidth="1"/>
    <col min="16" max="16" width="10.125" bestFit="1" customWidth="1"/>
  </cols>
  <sheetData>
    <row r="1" spans="2:21" ht="33" x14ac:dyDescent="0.3">
      <c r="B1" s="35" t="s">
        <v>7</v>
      </c>
      <c r="C1" s="9" t="s">
        <v>11</v>
      </c>
      <c r="D1" s="9" t="s">
        <v>12</v>
      </c>
      <c r="E1" s="18" t="s">
        <v>19</v>
      </c>
      <c r="F1" s="18" t="s">
        <v>108</v>
      </c>
      <c r="G1" s="18" t="s">
        <v>25</v>
      </c>
      <c r="H1" s="9" t="s">
        <v>10</v>
      </c>
      <c r="I1" s="36" t="s">
        <v>103</v>
      </c>
      <c r="N1" s="16"/>
      <c r="O1" s="16"/>
      <c r="P1" s="16"/>
      <c r="Q1" s="16"/>
      <c r="R1" s="16"/>
      <c r="S1" s="16"/>
      <c r="T1" s="16"/>
      <c r="U1" s="16"/>
    </row>
    <row r="2" spans="2:21" x14ac:dyDescent="0.3">
      <c r="B2" s="17">
        <v>46171</v>
      </c>
      <c r="C2" s="9">
        <v>60500</v>
      </c>
      <c r="D2" s="9">
        <v>7374</v>
      </c>
      <c r="E2" s="18">
        <v>37636</v>
      </c>
      <c r="F2" s="18">
        <v>83050</v>
      </c>
      <c r="G2" s="18">
        <v>5339</v>
      </c>
      <c r="H2" s="9">
        <v>193899</v>
      </c>
      <c r="I2" s="38">
        <f>H2-H9</f>
        <v>64482.899999999994</v>
      </c>
      <c r="N2" s="16"/>
      <c r="O2" s="16"/>
      <c r="P2" s="16"/>
      <c r="Q2" s="16"/>
      <c r="R2" s="16"/>
      <c r="S2" s="16"/>
      <c r="T2" s="16"/>
      <c r="U2" s="16"/>
    </row>
    <row r="3" spans="2:21" x14ac:dyDescent="0.3">
      <c r="B3" s="17">
        <v>46142</v>
      </c>
      <c r="C3" s="9">
        <v>60500</v>
      </c>
      <c r="D3" s="9">
        <v>8240</v>
      </c>
      <c r="E3" s="18">
        <v>39741</v>
      </c>
      <c r="F3" s="22">
        <v>59611</v>
      </c>
      <c r="G3" s="18">
        <v>4495</v>
      </c>
      <c r="H3" s="9">
        <f>174587-2000</f>
        <v>172587</v>
      </c>
      <c r="I3" s="38">
        <f>H3-(H10+H9)/2</f>
        <v>44307.95</v>
      </c>
      <c r="K3" s="16">
        <f>H3-H4</f>
        <v>6978</v>
      </c>
      <c r="N3" s="16"/>
      <c r="O3" s="16"/>
      <c r="P3" s="16"/>
      <c r="Q3" s="16"/>
      <c r="R3" s="16"/>
      <c r="S3" s="16"/>
      <c r="T3" s="16"/>
      <c r="U3" s="16"/>
    </row>
    <row r="4" spans="2:21" x14ac:dyDescent="0.3">
      <c r="B4" s="17">
        <v>46080</v>
      </c>
      <c r="C4" s="9">
        <v>60500</v>
      </c>
      <c r="D4" s="9">
        <v>17448</v>
      </c>
      <c r="E4" s="18">
        <v>36813</v>
      </c>
      <c r="F4" s="22">
        <v>47616</v>
      </c>
      <c r="G4" s="18">
        <v>3232</v>
      </c>
      <c r="H4" s="9">
        <v>165609</v>
      </c>
      <c r="I4" s="38">
        <f>H4-(H11+H10)/2</f>
        <v>39044.5</v>
      </c>
      <c r="N4" s="16"/>
      <c r="O4" s="16"/>
      <c r="P4" s="16"/>
      <c r="Q4" s="16"/>
      <c r="R4" s="16"/>
      <c r="S4" s="16"/>
      <c r="T4" s="16"/>
      <c r="U4" s="16"/>
    </row>
    <row r="5" spans="2:21" x14ac:dyDescent="0.3">
      <c r="B5" s="17">
        <v>46027</v>
      </c>
      <c r="C5" s="9">
        <v>60500</v>
      </c>
      <c r="D5" s="9">
        <v>33483</v>
      </c>
      <c r="E5" s="18">
        <v>29964</v>
      </c>
      <c r="F5" s="22">
        <v>22251.875</v>
      </c>
      <c r="G5" s="18">
        <v>2085</v>
      </c>
      <c r="H5" s="9">
        <v>148283.875</v>
      </c>
      <c r="I5" s="22">
        <f>H5-H12</f>
        <v>23910.875</v>
      </c>
      <c r="J5" s="16"/>
      <c r="K5" s="16"/>
      <c r="L5" s="16"/>
      <c r="N5" s="16"/>
      <c r="O5" s="16"/>
      <c r="P5" s="16"/>
      <c r="Q5" s="16"/>
      <c r="R5" s="16"/>
      <c r="S5" s="16"/>
      <c r="T5" s="16"/>
      <c r="U5" s="16"/>
    </row>
    <row r="6" spans="2:21" x14ac:dyDescent="0.3">
      <c r="B6" s="17">
        <v>45990</v>
      </c>
      <c r="C6" s="9">
        <v>60500</v>
      </c>
      <c r="D6" s="9">
        <v>38447</v>
      </c>
      <c r="E6" s="18">
        <v>16528</v>
      </c>
      <c r="F6" s="22">
        <v>21077</v>
      </c>
      <c r="G6" s="18">
        <v>2136</v>
      </c>
      <c r="H6" s="9">
        <v>138719</v>
      </c>
      <c r="I6" s="22">
        <f>H6-H13</f>
        <v>17169</v>
      </c>
      <c r="K6" s="16"/>
      <c r="L6" s="16"/>
      <c r="N6" s="16"/>
      <c r="O6" s="16"/>
      <c r="P6" s="16"/>
      <c r="Q6" s="16"/>
      <c r="R6" s="16"/>
      <c r="S6" s="16"/>
      <c r="T6" s="16"/>
      <c r="U6" s="16"/>
    </row>
    <row r="7" spans="2:21" x14ac:dyDescent="0.3">
      <c r="B7" s="17">
        <v>45928</v>
      </c>
      <c r="C7" s="9">
        <v>60500</v>
      </c>
      <c r="D7" s="9">
        <v>38354</v>
      </c>
      <c r="E7" s="18">
        <v>15735</v>
      </c>
      <c r="F7" s="22">
        <v>18580</v>
      </c>
      <c r="G7" s="18">
        <v>2118</v>
      </c>
      <c r="H7" s="9">
        <v>135287</v>
      </c>
      <c r="I7" s="22">
        <f>H7-H15</f>
        <v>16466</v>
      </c>
      <c r="K7" s="16"/>
      <c r="L7" s="16"/>
      <c r="N7" s="16"/>
      <c r="O7" s="16"/>
      <c r="P7" s="16"/>
      <c r="Q7" s="16"/>
      <c r="R7" s="16"/>
      <c r="S7" s="16"/>
      <c r="T7" s="16"/>
      <c r="U7" s="16"/>
    </row>
    <row r="8" spans="2:21" x14ac:dyDescent="0.3">
      <c r="B8" s="17">
        <v>45870</v>
      </c>
      <c r="C8" s="9">
        <v>60500</v>
      </c>
      <c r="D8" s="9">
        <v>39217</v>
      </c>
      <c r="E8" s="18">
        <v>14174</v>
      </c>
      <c r="F8" s="22">
        <v>17245</v>
      </c>
      <c r="G8" s="18">
        <v>2097</v>
      </c>
      <c r="H8" s="9">
        <v>133233</v>
      </c>
      <c r="I8" s="22">
        <f>H8-H16</f>
        <v>15085</v>
      </c>
      <c r="K8" s="16"/>
      <c r="L8" s="16"/>
      <c r="N8" s="16"/>
      <c r="O8" s="16"/>
      <c r="P8" s="16"/>
      <c r="Q8" s="16"/>
      <c r="R8" s="16"/>
      <c r="S8" s="16"/>
      <c r="T8" s="16"/>
      <c r="U8" s="16"/>
    </row>
    <row r="9" spans="2:21" x14ac:dyDescent="0.3">
      <c r="B9" s="17">
        <v>45809</v>
      </c>
      <c r="C9" s="9">
        <v>60500</v>
      </c>
      <c r="D9" s="9">
        <v>44568</v>
      </c>
      <c r="E9" s="18">
        <v>13304.1</v>
      </c>
      <c r="F9" s="22">
        <v>9060</v>
      </c>
      <c r="G9" s="18">
        <v>1984</v>
      </c>
      <c r="H9" s="9">
        <v>129416.1</v>
      </c>
      <c r="I9" s="22">
        <f>H9-H18</f>
        <v>13158.100000000006</v>
      </c>
      <c r="K9" s="16"/>
      <c r="L9" s="16"/>
      <c r="N9" s="16"/>
      <c r="O9" s="16"/>
      <c r="P9" s="16"/>
      <c r="Q9" s="16"/>
      <c r="R9" s="16"/>
      <c r="S9" s="16"/>
      <c r="T9" s="16"/>
      <c r="U9" s="16"/>
    </row>
    <row r="10" spans="2:21" x14ac:dyDescent="0.3">
      <c r="B10" s="17">
        <v>45746</v>
      </c>
      <c r="C10" s="9">
        <v>60500</v>
      </c>
      <c r="D10" s="9">
        <v>42891</v>
      </c>
      <c r="E10" s="18">
        <v>12889</v>
      </c>
      <c r="F10" s="22">
        <v>8767</v>
      </c>
      <c r="G10" s="18">
        <v>2095</v>
      </c>
      <c r="H10" s="9">
        <v>127142</v>
      </c>
      <c r="I10" s="22">
        <f>H10-H20</f>
        <v>12552</v>
      </c>
      <c r="K10" s="16"/>
      <c r="L10" s="16"/>
      <c r="N10" s="16"/>
      <c r="O10" s="16"/>
      <c r="P10" s="16"/>
      <c r="Q10" s="16"/>
      <c r="R10" s="16"/>
      <c r="S10" s="16"/>
      <c r="T10" s="16"/>
      <c r="U10" s="16"/>
    </row>
    <row r="11" spans="2:21" x14ac:dyDescent="0.3">
      <c r="B11" s="17">
        <v>45689</v>
      </c>
      <c r="C11" s="9">
        <v>60500</v>
      </c>
      <c r="D11" s="9">
        <v>42914</v>
      </c>
      <c r="E11" s="18">
        <v>13001</v>
      </c>
      <c r="F11" s="22">
        <v>7520</v>
      </c>
      <c r="G11" s="18">
        <v>2052</v>
      </c>
      <c r="H11" s="9">
        <v>125987</v>
      </c>
      <c r="I11" s="22">
        <f t="shared" ref="I11:I16" si="0">H11-H22</f>
        <v>14114</v>
      </c>
      <c r="K11" s="16"/>
      <c r="L11" s="16"/>
    </row>
    <row r="12" spans="2:21" x14ac:dyDescent="0.3">
      <c r="B12" s="17">
        <v>45658</v>
      </c>
      <c r="C12" s="22">
        <v>60500</v>
      </c>
      <c r="D12" s="22">
        <v>41823</v>
      </c>
      <c r="E12" s="22">
        <v>12274</v>
      </c>
      <c r="F12" s="22">
        <v>7681</v>
      </c>
      <c r="G12" s="22">
        <v>2095</v>
      </c>
      <c r="H12" s="22">
        <v>124373</v>
      </c>
      <c r="I12" s="22">
        <f t="shared" si="0"/>
        <v>13949</v>
      </c>
      <c r="K12" s="16"/>
      <c r="L12" s="16"/>
    </row>
    <row r="13" spans="2:21" x14ac:dyDescent="0.3">
      <c r="B13" s="17">
        <v>45630</v>
      </c>
      <c r="C13" s="9">
        <v>61950</v>
      </c>
      <c r="D13" s="9">
        <v>40408</v>
      </c>
      <c r="E13" s="18">
        <v>10852</v>
      </c>
      <c r="F13" s="22">
        <v>6340</v>
      </c>
      <c r="G13" s="18">
        <v>2000</v>
      </c>
      <c r="H13" s="9">
        <v>121550</v>
      </c>
      <c r="I13" s="22">
        <f t="shared" si="0"/>
        <v>12195</v>
      </c>
      <c r="K13" s="16"/>
      <c r="L13" s="16"/>
    </row>
    <row r="14" spans="2:21" x14ac:dyDescent="0.3">
      <c r="B14" s="17">
        <v>45601</v>
      </c>
      <c r="C14" s="22">
        <v>61950</v>
      </c>
      <c r="D14" s="22">
        <v>41446</v>
      </c>
      <c r="E14" s="22">
        <v>10574</v>
      </c>
      <c r="F14" s="22">
        <v>5652</v>
      </c>
      <c r="G14" s="22">
        <v>500</v>
      </c>
      <c r="H14" s="22">
        <v>120122</v>
      </c>
      <c r="I14" s="22">
        <f t="shared" si="0"/>
        <v>11499</v>
      </c>
      <c r="J14" s="16"/>
      <c r="K14" s="16"/>
      <c r="L14" s="16"/>
      <c r="M14" s="9" t="s">
        <v>11</v>
      </c>
      <c r="N14" s="9" t="s">
        <v>12</v>
      </c>
      <c r="O14" s="18" t="s">
        <v>19</v>
      </c>
      <c r="P14" s="18" t="s">
        <v>104</v>
      </c>
      <c r="Q14" s="18" t="s">
        <v>26</v>
      </c>
      <c r="R14" s="9" t="s">
        <v>10</v>
      </c>
    </row>
    <row r="15" spans="2:21" x14ac:dyDescent="0.3">
      <c r="B15" s="17">
        <v>45571</v>
      </c>
      <c r="C15" s="22">
        <v>61950</v>
      </c>
      <c r="D15" s="22">
        <v>40344</v>
      </c>
      <c r="E15" s="22">
        <v>10388</v>
      </c>
      <c r="F15" s="22">
        <v>6139</v>
      </c>
      <c r="G15" s="22"/>
      <c r="H15" s="22">
        <v>118821</v>
      </c>
      <c r="I15" s="22">
        <f t="shared" si="0"/>
        <v>10670</v>
      </c>
      <c r="K15" s="16"/>
      <c r="L15" s="16"/>
      <c r="M15" s="9">
        <v>60500</v>
      </c>
      <c r="N15" s="9">
        <v>7374</v>
      </c>
      <c r="O15" s="18">
        <v>37636</v>
      </c>
      <c r="P15" s="18">
        <v>83050</v>
      </c>
      <c r="Q15" s="18">
        <v>5339</v>
      </c>
      <c r="R15" s="9">
        <v>193899</v>
      </c>
    </row>
    <row r="16" spans="2:21" x14ac:dyDescent="0.3">
      <c r="B16" s="17">
        <v>45535</v>
      </c>
      <c r="C16" s="22">
        <v>61950</v>
      </c>
      <c r="D16" s="22">
        <v>39789</v>
      </c>
      <c r="E16" s="22">
        <v>10223</v>
      </c>
      <c r="F16" s="22">
        <v>6186</v>
      </c>
      <c r="G16" s="22"/>
      <c r="H16" s="22">
        <v>118148</v>
      </c>
      <c r="I16" s="22">
        <f t="shared" si="0"/>
        <v>10681</v>
      </c>
      <c r="K16" s="16"/>
      <c r="L16" s="16"/>
    </row>
    <row r="17" spans="2:12" x14ac:dyDescent="0.3">
      <c r="B17" s="17">
        <v>45480</v>
      </c>
      <c r="C17" s="22">
        <v>61950</v>
      </c>
      <c r="D17" s="22">
        <v>39126</v>
      </c>
      <c r="E17" s="22">
        <v>10015</v>
      </c>
      <c r="F17" s="22">
        <v>5769</v>
      </c>
      <c r="G17" s="22"/>
      <c r="H17" s="22">
        <v>116860</v>
      </c>
      <c r="I17" s="22">
        <f t="shared" ref="I17:I33" si="1">H17-H29</f>
        <v>11437</v>
      </c>
      <c r="K17" s="16"/>
      <c r="L17" s="16"/>
    </row>
    <row r="18" spans="2:12" x14ac:dyDescent="0.3">
      <c r="B18" s="17">
        <v>45449</v>
      </c>
      <c r="C18" s="21">
        <v>61950</v>
      </c>
      <c r="D18" s="21">
        <v>37785</v>
      </c>
      <c r="E18" s="21">
        <v>9838</v>
      </c>
      <c r="F18" s="22">
        <v>6685</v>
      </c>
      <c r="G18" s="21"/>
      <c r="H18" s="21">
        <v>116258</v>
      </c>
      <c r="I18" s="22">
        <f t="shared" si="1"/>
        <v>11408</v>
      </c>
      <c r="K18" s="16"/>
      <c r="L18" s="16"/>
    </row>
    <row r="19" spans="2:12" x14ac:dyDescent="0.3">
      <c r="B19" s="17">
        <v>45414</v>
      </c>
      <c r="C19" s="22">
        <v>61950</v>
      </c>
      <c r="D19" s="22">
        <v>38367</v>
      </c>
      <c r="E19" s="22">
        <v>9641</v>
      </c>
      <c r="F19" s="22">
        <v>5683</v>
      </c>
      <c r="G19" s="22"/>
      <c r="H19" s="22">
        <v>115641</v>
      </c>
      <c r="I19" s="22">
        <f t="shared" si="1"/>
        <v>13557</v>
      </c>
      <c r="K19" s="16"/>
      <c r="L19" s="16"/>
    </row>
    <row r="20" spans="2:12" x14ac:dyDescent="0.3">
      <c r="B20" s="17">
        <v>45384</v>
      </c>
      <c r="C20" s="5">
        <v>61950</v>
      </c>
      <c r="D20" s="5">
        <v>38150</v>
      </c>
      <c r="E20" s="5">
        <v>9497</v>
      </c>
      <c r="F20" s="22">
        <v>4993</v>
      </c>
      <c r="G20" s="5"/>
      <c r="H20" s="5">
        <v>114590</v>
      </c>
      <c r="I20" s="22">
        <f t="shared" si="1"/>
        <v>13103</v>
      </c>
      <c r="K20" s="16"/>
      <c r="L20" s="16"/>
    </row>
    <row r="21" spans="2:12" x14ac:dyDescent="0.3">
      <c r="B21" s="17">
        <v>45352</v>
      </c>
      <c r="C21" s="5">
        <v>61950</v>
      </c>
      <c r="D21" s="5">
        <v>37146</v>
      </c>
      <c r="E21" s="5">
        <v>9339</v>
      </c>
      <c r="F21" s="22">
        <v>4159</v>
      </c>
      <c r="G21" s="5"/>
      <c r="H21" s="5">
        <v>112594</v>
      </c>
      <c r="I21" s="22">
        <f t="shared" si="1"/>
        <v>12181</v>
      </c>
      <c r="K21" s="16"/>
      <c r="L21" s="16"/>
    </row>
    <row r="22" spans="2:12" x14ac:dyDescent="0.3">
      <c r="B22" s="17">
        <v>45323</v>
      </c>
      <c r="C22" s="5">
        <v>61950</v>
      </c>
      <c r="D22" s="5">
        <v>36458</v>
      </c>
      <c r="E22" s="5">
        <v>9233</v>
      </c>
      <c r="F22" s="22">
        <v>4232</v>
      </c>
      <c r="G22" s="5"/>
      <c r="H22" s="5">
        <v>111873</v>
      </c>
      <c r="I22" s="22">
        <f t="shared" si="1"/>
        <v>11265</v>
      </c>
      <c r="K22" s="16"/>
      <c r="L22" s="16"/>
    </row>
    <row r="23" spans="2:12" x14ac:dyDescent="0.3">
      <c r="B23" s="17">
        <v>45295</v>
      </c>
      <c r="C23" s="5">
        <v>61950</v>
      </c>
      <c r="D23" s="5">
        <v>35170</v>
      </c>
      <c r="E23" s="5">
        <v>9109</v>
      </c>
      <c r="F23" s="22">
        <v>4195</v>
      </c>
      <c r="G23" s="5"/>
      <c r="H23" s="5">
        <v>110424</v>
      </c>
      <c r="I23" s="22">
        <f t="shared" si="1"/>
        <v>13082</v>
      </c>
      <c r="K23" s="16"/>
      <c r="L23" s="16"/>
    </row>
    <row r="24" spans="2:12" x14ac:dyDescent="0.3">
      <c r="B24" s="17">
        <v>45262</v>
      </c>
      <c r="C24" s="5">
        <v>61950</v>
      </c>
      <c r="D24" s="5">
        <v>34714</v>
      </c>
      <c r="E24" s="21">
        <v>8899</v>
      </c>
      <c r="F24" s="22">
        <v>3792</v>
      </c>
      <c r="G24" s="21"/>
      <c r="H24" s="5">
        <v>109355</v>
      </c>
      <c r="I24" s="22">
        <f t="shared" si="1"/>
        <v>12503</v>
      </c>
      <c r="K24" s="16"/>
      <c r="L24" s="16"/>
    </row>
    <row r="25" spans="2:12" x14ac:dyDescent="0.3">
      <c r="B25" s="17">
        <v>45233</v>
      </c>
      <c r="C25" s="5">
        <v>61950</v>
      </c>
      <c r="D25" s="5">
        <v>34511</v>
      </c>
      <c r="E25" s="21">
        <v>8734</v>
      </c>
      <c r="F25" s="22">
        <v>3428</v>
      </c>
      <c r="G25" s="21"/>
      <c r="H25" s="5">
        <v>108623</v>
      </c>
      <c r="I25" s="22">
        <f t="shared" si="1"/>
        <v>12141</v>
      </c>
      <c r="K25" s="16"/>
      <c r="L25" s="16"/>
    </row>
    <row r="26" spans="2:12" x14ac:dyDescent="0.3">
      <c r="B26" s="17">
        <v>45206</v>
      </c>
      <c r="C26" s="9">
        <v>61950</v>
      </c>
      <c r="D26" s="9">
        <v>34339</v>
      </c>
      <c r="E26" s="21">
        <v>8621</v>
      </c>
      <c r="F26" s="22">
        <v>3241</v>
      </c>
      <c r="G26" s="21"/>
      <c r="H26" s="9">
        <v>108151</v>
      </c>
      <c r="I26" s="22">
        <f t="shared" si="1"/>
        <v>12386</v>
      </c>
      <c r="K26" s="16"/>
      <c r="L26" s="16"/>
    </row>
    <row r="27" spans="2:12" x14ac:dyDescent="0.3">
      <c r="B27" s="17">
        <v>45172</v>
      </c>
      <c r="C27" s="9">
        <v>61950</v>
      </c>
      <c r="D27" s="9">
        <v>33132</v>
      </c>
      <c r="E27" s="21">
        <v>8573</v>
      </c>
      <c r="F27" s="22">
        <v>3812</v>
      </c>
      <c r="G27" s="21"/>
      <c r="H27" s="9">
        <v>107467</v>
      </c>
      <c r="I27" s="22">
        <f t="shared" si="1"/>
        <v>12130</v>
      </c>
      <c r="K27" s="16"/>
      <c r="L27" s="16"/>
    </row>
    <row r="28" spans="2:12" x14ac:dyDescent="0.3">
      <c r="B28" s="17">
        <v>45138</v>
      </c>
      <c r="C28" s="9">
        <v>61950</v>
      </c>
      <c r="D28" s="9">
        <v>32449</v>
      </c>
      <c r="E28" s="21">
        <v>8465</v>
      </c>
      <c r="F28" s="22">
        <v>3441</v>
      </c>
      <c r="G28" s="21"/>
      <c r="H28" s="9">
        <v>106305</v>
      </c>
      <c r="I28" s="22">
        <f t="shared" si="1"/>
        <v>11639</v>
      </c>
      <c r="K28" s="16"/>
      <c r="L28" s="16"/>
    </row>
    <row r="29" spans="2:12" x14ac:dyDescent="0.3">
      <c r="B29" s="17">
        <v>45111</v>
      </c>
      <c r="C29" s="9">
        <v>61950</v>
      </c>
      <c r="D29" s="9">
        <v>31922</v>
      </c>
      <c r="E29" s="21">
        <v>8338</v>
      </c>
      <c r="F29" s="22">
        <v>3213</v>
      </c>
      <c r="G29" s="21"/>
      <c r="H29" s="9">
        <v>105423</v>
      </c>
      <c r="I29" s="22">
        <f t="shared" si="1"/>
        <v>11890</v>
      </c>
      <c r="K29" s="16"/>
      <c r="L29" s="16"/>
    </row>
    <row r="30" spans="2:12" x14ac:dyDescent="0.3">
      <c r="B30" s="17">
        <v>45077</v>
      </c>
      <c r="C30" s="9">
        <v>61950</v>
      </c>
      <c r="D30" s="9">
        <v>31888</v>
      </c>
      <c r="E30" s="21">
        <v>8202</v>
      </c>
      <c r="F30" s="22">
        <v>2810</v>
      </c>
      <c r="G30" s="21"/>
      <c r="H30" s="9">
        <v>104850</v>
      </c>
      <c r="I30" s="22">
        <f t="shared" si="1"/>
        <v>11930</v>
      </c>
      <c r="K30" s="16"/>
      <c r="L30" s="16"/>
    </row>
    <row r="31" spans="2:12" x14ac:dyDescent="0.3">
      <c r="B31" s="17">
        <v>45051</v>
      </c>
      <c r="C31" s="9">
        <v>61950</v>
      </c>
      <c r="D31" s="9">
        <v>29624</v>
      </c>
      <c r="E31" s="21">
        <v>8104</v>
      </c>
      <c r="F31" s="22">
        <v>2406</v>
      </c>
      <c r="G31" s="21"/>
      <c r="H31" s="9">
        <v>102084</v>
      </c>
      <c r="I31" s="22">
        <f t="shared" si="1"/>
        <v>11061</v>
      </c>
      <c r="K31" s="16"/>
      <c r="L31" s="16"/>
    </row>
    <row r="32" spans="2:12" x14ac:dyDescent="0.3">
      <c r="B32" s="17">
        <v>45018</v>
      </c>
      <c r="C32" s="9">
        <v>61950</v>
      </c>
      <c r="D32" s="9">
        <v>29162</v>
      </c>
      <c r="E32" s="21">
        <v>7958</v>
      </c>
      <c r="F32" s="22">
        <v>2417</v>
      </c>
      <c r="G32" s="21"/>
      <c r="H32" s="9">
        <v>101487</v>
      </c>
      <c r="I32" s="22">
        <f t="shared" si="1"/>
        <v>11429</v>
      </c>
      <c r="K32" s="16"/>
      <c r="L32" s="16"/>
    </row>
    <row r="33" spans="2:21" x14ac:dyDescent="0.3">
      <c r="B33" s="17">
        <v>44989</v>
      </c>
      <c r="C33" s="9">
        <v>61950</v>
      </c>
      <c r="D33" s="9">
        <v>28686</v>
      </c>
      <c r="E33" s="21">
        <v>7849</v>
      </c>
      <c r="F33" s="22">
        <v>1928</v>
      </c>
      <c r="G33" s="21"/>
      <c r="H33" s="9">
        <v>100413</v>
      </c>
      <c r="I33" s="22">
        <f t="shared" si="1"/>
        <v>11272</v>
      </c>
      <c r="K33" s="16"/>
      <c r="L33" s="16"/>
    </row>
    <row r="34" spans="2:21" x14ac:dyDescent="0.3">
      <c r="B34" s="17">
        <v>44966</v>
      </c>
      <c r="C34" s="9">
        <v>61950</v>
      </c>
      <c r="D34" s="9">
        <v>28998</v>
      </c>
      <c r="E34" s="21">
        <v>7769</v>
      </c>
      <c r="F34" s="22">
        <v>1891</v>
      </c>
      <c r="G34" s="21"/>
      <c r="H34" s="9">
        <v>100608</v>
      </c>
      <c r="I34" s="22">
        <f>H34-H45</f>
        <v>11467</v>
      </c>
      <c r="K34" s="16"/>
      <c r="L34" s="16"/>
    </row>
    <row r="35" spans="2:21" x14ac:dyDescent="0.3">
      <c r="B35" s="17">
        <v>44934</v>
      </c>
      <c r="C35" s="9">
        <v>61950</v>
      </c>
      <c r="D35" s="9">
        <v>25861</v>
      </c>
      <c r="E35" s="21">
        <v>7646</v>
      </c>
      <c r="F35" s="22">
        <v>1885</v>
      </c>
      <c r="G35" s="21"/>
      <c r="H35" s="9">
        <v>97342</v>
      </c>
      <c r="I35" s="22">
        <f>H35-H46</f>
        <v>12839</v>
      </c>
      <c r="K35" s="16"/>
      <c r="L35" s="16"/>
    </row>
    <row r="36" spans="2:21" x14ac:dyDescent="0.3">
      <c r="B36" s="17">
        <v>44906</v>
      </c>
      <c r="C36" s="9">
        <v>59000</v>
      </c>
      <c r="D36" s="9">
        <v>28376</v>
      </c>
      <c r="E36" s="21">
        <v>7546</v>
      </c>
      <c r="F36" s="22">
        <v>1930</v>
      </c>
      <c r="G36" s="21"/>
      <c r="H36" s="9">
        <v>96852</v>
      </c>
      <c r="I36" s="22"/>
      <c r="K36" s="16"/>
      <c r="L36" s="16"/>
    </row>
    <row r="37" spans="2:21" x14ac:dyDescent="0.3">
      <c r="B37" s="17">
        <v>44870</v>
      </c>
      <c r="C37" s="9">
        <v>59000</v>
      </c>
      <c r="D37" s="9">
        <v>27680</v>
      </c>
      <c r="E37" s="21">
        <v>7423</v>
      </c>
      <c r="F37" s="22">
        <v>1999</v>
      </c>
      <c r="G37" s="21"/>
      <c r="H37" s="9">
        <v>96482</v>
      </c>
      <c r="I37" s="22"/>
      <c r="K37" s="16"/>
      <c r="L37" s="16"/>
    </row>
    <row r="38" spans="2:21" x14ac:dyDescent="0.3">
      <c r="B38" s="17">
        <v>44844</v>
      </c>
      <c r="C38" s="9">
        <v>59000</v>
      </c>
      <c r="D38" s="9">
        <v>27094</v>
      </c>
      <c r="E38" s="21">
        <v>1775</v>
      </c>
      <c r="F38" s="22">
        <v>2353</v>
      </c>
      <c r="G38" s="21"/>
      <c r="H38" s="9">
        <v>95765</v>
      </c>
      <c r="I38" s="22"/>
      <c r="K38" s="16"/>
      <c r="L38" s="16"/>
    </row>
    <row r="39" spans="2:21" x14ac:dyDescent="0.3">
      <c r="B39" s="17">
        <v>44804</v>
      </c>
      <c r="C39" s="9">
        <v>59000</v>
      </c>
      <c r="D39" s="9">
        <v>27071</v>
      </c>
      <c r="E39" s="21">
        <v>1755</v>
      </c>
      <c r="F39" s="22">
        <v>2024</v>
      </c>
      <c r="G39" s="21"/>
      <c r="H39" s="9">
        <v>95337</v>
      </c>
      <c r="I39" s="22"/>
      <c r="K39" s="16"/>
      <c r="L39" s="16"/>
    </row>
    <row r="40" spans="2:21" x14ac:dyDescent="0.3">
      <c r="B40" s="17">
        <v>44781</v>
      </c>
      <c r="C40" s="9">
        <v>59000</v>
      </c>
      <c r="D40" s="9">
        <v>26735</v>
      </c>
      <c r="E40" s="21">
        <v>1717</v>
      </c>
      <c r="F40" s="22">
        <v>1777</v>
      </c>
      <c r="G40" s="21"/>
      <c r="H40" s="9">
        <v>94666</v>
      </c>
      <c r="I40" s="22"/>
      <c r="K40" s="16"/>
      <c r="L40" s="16"/>
    </row>
    <row r="41" spans="2:21" x14ac:dyDescent="0.3">
      <c r="B41" s="17">
        <v>44746</v>
      </c>
      <c r="C41" s="9">
        <v>59000</v>
      </c>
      <c r="D41" s="9">
        <v>25908</v>
      </c>
      <c r="E41" s="21">
        <v>1645</v>
      </c>
      <c r="F41" s="22">
        <v>1597</v>
      </c>
      <c r="G41" s="21"/>
      <c r="H41" s="9">
        <v>93533</v>
      </c>
      <c r="I41" s="22"/>
      <c r="K41" s="16"/>
      <c r="L41" s="16"/>
    </row>
    <row r="42" spans="2:21" x14ac:dyDescent="0.3">
      <c r="B42" s="17">
        <v>44709</v>
      </c>
      <c r="C42" s="9">
        <v>59000</v>
      </c>
      <c r="D42" s="9">
        <v>25369</v>
      </c>
      <c r="E42" s="21">
        <v>1598</v>
      </c>
      <c r="F42" s="22">
        <v>1602</v>
      </c>
      <c r="G42" s="21"/>
      <c r="H42" s="9">
        <v>92920</v>
      </c>
      <c r="I42" s="22"/>
      <c r="K42" s="16"/>
      <c r="L42" s="16"/>
    </row>
    <row r="43" spans="2:21" x14ac:dyDescent="0.3">
      <c r="B43" s="17">
        <v>44680</v>
      </c>
      <c r="C43" s="9">
        <v>59000</v>
      </c>
      <c r="D43" s="9">
        <v>23535</v>
      </c>
      <c r="E43" s="21">
        <v>1544</v>
      </c>
      <c r="F43" s="22">
        <v>1627</v>
      </c>
      <c r="G43" s="21"/>
      <c r="H43" s="9">
        <v>91023</v>
      </c>
      <c r="I43" s="22"/>
      <c r="K43" s="16"/>
      <c r="L43" s="16"/>
    </row>
    <row r="44" spans="2:21" x14ac:dyDescent="0.3">
      <c r="B44" s="17">
        <v>44640</v>
      </c>
      <c r="C44" s="9"/>
      <c r="D44" s="9"/>
      <c r="E44" s="9"/>
      <c r="F44" s="22">
        <v>0</v>
      </c>
      <c r="G44" s="9"/>
      <c r="H44" s="9">
        <v>90058</v>
      </c>
      <c r="I44" s="10"/>
      <c r="K44" s="16"/>
      <c r="L44" s="16"/>
    </row>
    <row r="45" spans="2:21" x14ac:dyDescent="0.3">
      <c r="B45" s="17">
        <v>44590</v>
      </c>
      <c r="C45" s="9"/>
      <c r="D45" s="9"/>
      <c r="E45" s="9"/>
      <c r="F45" s="22">
        <v>0</v>
      </c>
      <c r="G45" s="9"/>
      <c r="H45" s="9">
        <v>89141</v>
      </c>
      <c r="I45" s="10"/>
      <c r="K45" s="16"/>
      <c r="L45" s="16"/>
    </row>
    <row r="46" spans="2:21" x14ac:dyDescent="0.3">
      <c r="B46" s="17">
        <v>44560</v>
      </c>
      <c r="C46" s="9"/>
      <c r="D46" s="9"/>
      <c r="E46" s="9"/>
      <c r="F46" s="22">
        <v>0</v>
      </c>
      <c r="G46" s="9"/>
      <c r="H46" s="9">
        <v>84503</v>
      </c>
      <c r="I46" s="10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2:21" x14ac:dyDescent="0.3">
      <c r="B47" s="17">
        <v>44534</v>
      </c>
      <c r="C47" s="9"/>
      <c r="D47" s="9"/>
      <c r="E47" s="9"/>
      <c r="F47" s="22">
        <v>0</v>
      </c>
      <c r="G47" s="9"/>
      <c r="H47" s="9">
        <v>82156</v>
      </c>
      <c r="I47" s="10"/>
      <c r="K47" s="16"/>
      <c r="L47" s="16"/>
    </row>
    <row r="48" spans="2:21" x14ac:dyDescent="0.3">
      <c r="B48" s="17">
        <v>42448</v>
      </c>
      <c r="C48" s="9"/>
      <c r="D48" s="9"/>
      <c r="E48" s="9"/>
      <c r="F48" s="22">
        <v>0</v>
      </c>
      <c r="G48" s="9"/>
      <c r="H48" s="9">
        <v>43027</v>
      </c>
      <c r="I48" s="10"/>
      <c r="K48" s="16"/>
      <c r="L48" s="16"/>
    </row>
    <row r="49" spans="2:12" x14ac:dyDescent="0.3">
      <c r="B49" s="17">
        <v>42330</v>
      </c>
      <c r="C49" s="9"/>
      <c r="D49" s="9"/>
      <c r="E49" s="9"/>
      <c r="F49" s="22">
        <v>0</v>
      </c>
      <c r="G49" s="9"/>
      <c r="H49" s="9">
        <v>38654</v>
      </c>
      <c r="I49" s="10"/>
      <c r="K49" s="16"/>
      <c r="L49" s="16"/>
    </row>
    <row r="50" spans="2:12" x14ac:dyDescent="0.3">
      <c r="B50" s="17">
        <v>42203</v>
      </c>
      <c r="C50" s="9"/>
      <c r="D50" s="9"/>
      <c r="E50" s="9"/>
      <c r="F50" s="22">
        <v>0</v>
      </c>
      <c r="G50" s="9"/>
      <c r="H50" s="9">
        <v>36851</v>
      </c>
      <c r="I50" s="10"/>
      <c r="K50" s="16"/>
      <c r="L50" s="16"/>
    </row>
    <row r="51" spans="2:12" x14ac:dyDescent="0.3">
      <c r="B51" s="17">
        <v>42141</v>
      </c>
      <c r="C51" s="9"/>
      <c r="D51" s="9"/>
      <c r="E51" s="9"/>
      <c r="F51" s="22">
        <v>0</v>
      </c>
      <c r="G51" s="9"/>
      <c r="H51" s="9">
        <v>34602.400000000001</v>
      </c>
      <c r="I51" s="10"/>
      <c r="K51" s="16"/>
      <c r="L51" s="16"/>
    </row>
    <row r="52" spans="2:12" x14ac:dyDescent="0.3">
      <c r="B52" s="17">
        <v>42050</v>
      </c>
      <c r="C52" s="9"/>
      <c r="D52" s="9"/>
      <c r="E52" s="9"/>
      <c r="F52" s="22">
        <v>0</v>
      </c>
      <c r="G52" s="9"/>
      <c r="H52" s="9">
        <v>32865.699999999997</v>
      </c>
      <c r="I52" s="10"/>
      <c r="K52" s="16"/>
      <c r="L52" s="16"/>
    </row>
    <row r="53" spans="2:12" x14ac:dyDescent="0.3">
      <c r="B53" s="17">
        <v>41987</v>
      </c>
      <c r="C53" s="9"/>
      <c r="D53" s="9"/>
      <c r="E53" s="9"/>
      <c r="F53" s="22">
        <v>0</v>
      </c>
      <c r="G53" s="9"/>
      <c r="H53" s="9">
        <v>29018.1</v>
      </c>
      <c r="I53" s="10"/>
      <c r="K53" s="16"/>
      <c r="L53" s="16"/>
    </row>
    <row r="54" spans="2:12" x14ac:dyDescent="0.3">
      <c r="B54" s="17">
        <v>41921</v>
      </c>
      <c r="C54" s="9"/>
      <c r="D54" s="9"/>
      <c r="E54" s="9"/>
      <c r="F54" s="22">
        <v>0</v>
      </c>
      <c r="G54" s="9"/>
      <c r="H54" s="9">
        <v>28403.780000000002</v>
      </c>
      <c r="I54" s="10"/>
      <c r="K54" s="16"/>
      <c r="L54" s="16"/>
    </row>
    <row r="55" spans="2:12" x14ac:dyDescent="0.3">
      <c r="B55" s="17">
        <v>41896</v>
      </c>
      <c r="C55" s="9"/>
      <c r="D55" s="9"/>
      <c r="E55" s="9"/>
      <c r="F55" s="22">
        <v>0</v>
      </c>
      <c r="G55" s="9"/>
      <c r="H55" s="9">
        <v>27922.760000000002</v>
      </c>
      <c r="I55" s="10"/>
      <c r="K55" s="16"/>
      <c r="L55" s="16"/>
    </row>
    <row r="56" spans="2:12" x14ac:dyDescent="0.3">
      <c r="B56" s="17">
        <v>41861</v>
      </c>
      <c r="C56" s="9"/>
      <c r="D56" s="9"/>
      <c r="E56" s="9"/>
      <c r="F56" s="22">
        <v>0</v>
      </c>
      <c r="G56" s="9"/>
      <c r="H56" s="9">
        <v>27369.039999999997</v>
      </c>
      <c r="I56" s="10"/>
      <c r="K56" s="16"/>
      <c r="L56" s="16"/>
    </row>
    <row r="57" spans="2:12" x14ac:dyDescent="0.3">
      <c r="B57" s="17">
        <v>41833</v>
      </c>
      <c r="C57" s="9"/>
      <c r="D57" s="9"/>
      <c r="E57" s="9"/>
      <c r="F57" s="22">
        <v>0</v>
      </c>
      <c r="G57" s="9"/>
      <c r="H57" s="9">
        <v>26831.320000000003</v>
      </c>
      <c r="I57" s="10"/>
      <c r="K57" s="16"/>
      <c r="L57" s="16"/>
    </row>
    <row r="58" spans="2:12" x14ac:dyDescent="0.3">
      <c r="B58" s="17">
        <v>41799</v>
      </c>
      <c r="C58" s="9"/>
      <c r="D58" s="9"/>
      <c r="E58" s="9"/>
      <c r="F58" s="22">
        <v>0</v>
      </c>
      <c r="G58" s="9"/>
      <c r="H58" s="9">
        <v>25975</v>
      </c>
      <c r="I58" s="10"/>
      <c r="K58" s="16"/>
      <c r="L58" s="16"/>
    </row>
    <row r="59" spans="2:12" x14ac:dyDescent="0.3">
      <c r="B59" s="17">
        <v>41766</v>
      </c>
      <c r="C59" s="9"/>
      <c r="D59" s="9"/>
      <c r="E59" s="9"/>
      <c r="F59" s="22">
        <v>0</v>
      </c>
      <c r="G59" s="9"/>
      <c r="H59" s="9">
        <v>25419</v>
      </c>
      <c r="I59" s="10"/>
      <c r="K59" s="16"/>
      <c r="L59" s="16"/>
    </row>
    <row r="60" spans="2:12" x14ac:dyDescent="0.3">
      <c r="B60" s="17">
        <v>41735</v>
      </c>
      <c r="C60" s="9"/>
      <c r="D60" s="9"/>
      <c r="E60" s="9"/>
      <c r="F60" s="22">
        <v>0</v>
      </c>
      <c r="G60" s="9"/>
      <c r="H60" s="9">
        <v>25287</v>
      </c>
      <c r="I60" s="10"/>
      <c r="K60" s="16"/>
      <c r="L60" s="16"/>
    </row>
    <row r="61" spans="2:12" x14ac:dyDescent="0.3">
      <c r="B61" s="17">
        <v>41703</v>
      </c>
      <c r="C61" s="9"/>
      <c r="D61" s="9"/>
      <c r="E61" s="9"/>
      <c r="F61" s="22">
        <v>0</v>
      </c>
      <c r="G61" s="9"/>
      <c r="H61" s="9">
        <v>24682</v>
      </c>
      <c r="I61" s="10"/>
      <c r="K61" s="16"/>
      <c r="L61" s="16"/>
    </row>
    <row r="62" spans="2:12" x14ac:dyDescent="0.3">
      <c r="B62" s="17">
        <v>41673</v>
      </c>
      <c r="C62" s="9"/>
      <c r="D62" s="9"/>
      <c r="E62" s="9"/>
      <c r="F62" s="22">
        <v>0</v>
      </c>
      <c r="G62" s="9"/>
      <c r="H62" s="9">
        <v>24007</v>
      </c>
      <c r="I62" s="10"/>
      <c r="K62" s="16"/>
      <c r="L62" s="16"/>
    </row>
    <row r="63" spans="2:12" x14ac:dyDescent="0.3">
      <c r="B63" s="17">
        <v>41651</v>
      </c>
      <c r="C63" s="9"/>
      <c r="D63" s="9"/>
      <c r="E63" s="9"/>
      <c r="F63" s="22">
        <v>0</v>
      </c>
      <c r="G63" s="9"/>
      <c r="H63" s="9">
        <v>22098</v>
      </c>
      <c r="I63" s="10"/>
      <c r="K63" s="16"/>
      <c r="L63" s="16"/>
    </row>
    <row r="64" spans="2:12" x14ac:dyDescent="0.3">
      <c r="B64" s="17">
        <v>41611</v>
      </c>
      <c r="C64" s="9"/>
      <c r="D64" s="9"/>
      <c r="E64" s="9"/>
      <c r="F64" s="22">
        <v>0</v>
      </c>
      <c r="G64" s="9"/>
      <c r="H64" s="9">
        <v>21634</v>
      </c>
      <c r="I64" s="10"/>
      <c r="K64" s="16"/>
      <c r="L64" s="16"/>
    </row>
    <row r="65" spans="2:12" x14ac:dyDescent="0.3">
      <c r="B65" s="17">
        <v>41584</v>
      </c>
      <c r="C65" s="9"/>
      <c r="D65" s="9"/>
      <c r="E65" s="9"/>
      <c r="F65" s="22">
        <v>0</v>
      </c>
      <c r="G65" s="9"/>
      <c r="H65" s="9">
        <v>21188</v>
      </c>
      <c r="I65" s="10"/>
      <c r="K65" s="16"/>
      <c r="L65" s="16"/>
    </row>
    <row r="66" spans="2:12" x14ac:dyDescent="0.3">
      <c r="B66" s="17">
        <v>41550</v>
      </c>
      <c r="C66" s="9"/>
      <c r="D66" s="9"/>
      <c r="E66" s="9"/>
      <c r="F66" s="22">
        <v>0</v>
      </c>
      <c r="G66" s="9"/>
      <c r="H66" s="9">
        <v>20769</v>
      </c>
      <c r="I66" s="10"/>
      <c r="K66" s="16"/>
      <c r="L66" s="16"/>
    </row>
    <row r="67" spans="2:12" x14ac:dyDescent="0.3">
      <c r="B67" s="17">
        <v>41520</v>
      </c>
      <c r="C67" s="9"/>
      <c r="D67" s="9"/>
      <c r="E67" s="9"/>
      <c r="F67" s="22">
        <v>0</v>
      </c>
      <c r="G67" s="9"/>
      <c r="H67" s="9">
        <v>19291</v>
      </c>
      <c r="I67" s="10"/>
      <c r="K67" s="16"/>
      <c r="L67" s="16"/>
    </row>
    <row r="68" spans="2:12" x14ac:dyDescent="0.3">
      <c r="B68" s="17">
        <v>41495</v>
      </c>
      <c r="C68" s="9"/>
      <c r="D68" s="9"/>
      <c r="E68" s="9"/>
      <c r="F68" s="22">
        <v>0</v>
      </c>
      <c r="G68" s="9"/>
      <c r="H68" s="9">
        <v>18832</v>
      </c>
      <c r="I68" s="10"/>
      <c r="K68" s="16"/>
      <c r="L68" s="16"/>
    </row>
    <row r="69" spans="2:12" x14ac:dyDescent="0.3">
      <c r="B69" s="17">
        <v>41459</v>
      </c>
      <c r="C69" s="9"/>
      <c r="D69" s="9"/>
      <c r="E69" s="9"/>
      <c r="F69" s="22">
        <v>0</v>
      </c>
      <c r="G69" s="9"/>
      <c r="H69" s="9">
        <v>18127</v>
      </c>
      <c r="I69" s="10"/>
      <c r="K69" s="16"/>
      <c r="L69" s="16"/>
    </row>
    <row r="70" spans="2:12" x14ac:dyDescent="0.3">
      <c r="B70" s="17">
        <v>41431</v>
      </c>
      <c r="C70" s="9"/>
      <c r="D70" s="9"/>
      <c r="E70" s="9"/>
      <c r="F70" s="22">
        <v>0</v>
      </c>
      <c r="G70" s="9"/>
      <c r="H70" s="9">
        <v>14337</v>
      </c>
      <c r="I70" s="10"/>
      <c r="K70" s="16"/>
      <c r="L70" s="16"/>
    </row>
    <row r="71" spans="2:12" x14ac:dyDescent="0.3">
      <c r="B71" s="17">
        <v>41398</v>
      </c>
      <c r="C71" s="9"/>
      <c r="D71" s="9"/>
      <c r="E71" s="9"/>
      <c r="F71" s="22">
        <v>0</v>
      </c>
      <c r="G71" s="9"/>
      <c r="H71" s="9">
        <v>13812</v>
      </c>
      <c r="I71" s="10"/>
      <c r="K71" s="16"/>
      <c r="L71" s="16"/>
    </row>
  </sheetData>
  <sortState ref="B2:K40">
    <sortCondition descending="1" ref="B2:B40"/>
  </sortState>
  <phoneticPr fontId="2" type="noConversion"/>
  <conditionalFormatting sqref="C44:G7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{795C88C4-7A76-4B8B-9226-76602E9701C7}</x14:id>
        </ext>
      </extLst>
    </cfRule>
  </conditionalFormatting>
  <conditionalFormatting sqref="C2:G4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{3223B239-2D52-4218-98BD-4CB57DA0F562}</x14:id>
        </ext>
      </extLst>
    </cfRule>
  </conditionalFormatting>
  <conditionalFormatting sqref="H2:I7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{472B19E7-A566-4C12-9F6D-0694C2223E8C}</x14:id>
        </ext>
      </extLst>
    </cfRule>
  </conditionalFormatting>
  <conditionalFormatting sqref="M15:Q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{C9865661-241C-4572-BC09-1A9A2BF5B651}</x14:id>
        </ext>
      </extLst>
    </cfRule>
  </conditionalFormatting>
  <conditionalFormatting sqref="R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{E8F408CC-1FB5-482F-95A7-9E0B66EED9C6}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5C88C4-7A76-4B8B-9226-76602E970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C44:G71</xm:sqref>
        </x14:conditionalFormatting>
        <x14:conditionalFormatting xmlns:xm="http://schemas.microsoft.com/office/excel/2006/main">
          <x14:cfRule type="dataBar" id="{3223B239-2D52-4218-98BD-4CB57DA0F5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C2:G43</xm:sqref>
        </x14:conditionalFormatting>
        <x14:conditionalFormatting xmlns:xm="http://schemas.microsoft.com/office/excel/2006/main">
          <x14:cfRule type="dataBar" id="{472B19E7-A566-4C12-9F6D-0694C2223E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H2:I71</xm:sqref>
        </x14:conditionalFormatting>
        <x14:conditionalFormatting xmlns:xm="http://schemas.microsoft.com/office/excel/2006/main">
          <x14:cfRule type="dataBar" id="{C9865661-241C-4572-BC09-1A9A2BF5B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M15:Q15</xm:sqref>
        </x14:conditionalFormatting>
        <x14:conditionalFormatting xmlns:xm="http://schemas.microsoft.com/office/excel/2006/main">
          <x14:cfRule type="dataBar" id="{E8F408CC-1FB5-482F-95A7-9E0B66EED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7"/>
  <sheetViews>
    <sheetView workbookViewId="0">
      <selection activeCell="P3" sqref="P3:P4"/>
    </sheetView>
  </sheetViews>
  <sheetFormatPr defaultRowHeight="16.5" x14ac:dyDescent="0.3"/>
  <cols>
    <col min="3" max="3" width="9.875" bestFit="1" customWidth="1"/>
    <col min="4" max="7" width="9.875" customWidth="1"/>
  </cols>
  <sheetData>
    <row r="2" spans="2:16" x14ac:dyDescent="0.3">
      <c r="B2" s="3" t="s">
        <v>125</v>
      </c>
      <c r="C2" s="3"/>
      <c r="D2" s="3"/>
      <c r="E2" s="50" t="s">
        <v>121</v>
      </c>
      <c r="F2" s="50"/>
      <c r="G2" s="50"/>
      <c r="H2" s="3"/>
      <c r="J2" s="3" t="s">
        <v>126</v>
      </c>
      <c r="K2" s="3"/>
      <c r="L2" s="3"/>
      <c r="M2" s="50" t="s">
        <v>121</v>
      </c>
      <c r="N2" s="50"/>
      <c r="O2" s="50"/>
      <c r="P2" s="3"/>
    </row>
    <row r="3" spans="2:16" x14ac:dyDescent="0.3">
      <c r="B3" s="3"/>
      <c r="C3" s="44" t="s">
        <v>110</v>
      </c>
      <c r="D3" s="46" t="s">
        <v>123</v>
      </c>
      <c r="E3" s="34">
        <v>0.06</v>
      </c>
      <c r="F3" s="34">
        <v>0.08</v>
      </c>
      <c r="G3" s="34">
        <v>0.1</v>
      </c>
      <c r="H3" s="51" t="s">
        <v>124</v>
      </c>
      <c r="J3" s="3"/>
      <c r="K3" s="44" t="s">
        <v>110</v>
      </c>
      <c r="L3" s="46" t="s">
        <v>123</v>
      </c>
      <c r="M3" s="34">
        <v>0.06</v>
      </c>
      <c r="N3" s="34">
        <v>0.08</v>
      </c>
      <c r="O3" s="34">
        <v>0.1</v>
      </c>
      <c r="P3" s="51" t="s">
        <v>124</v>
      </c>
    </row>
    <row r="4" spans="2:16" x14ac:dyDescent="0.3">
      <c r="B4" s="3" t="s">
        <v>122</v>
      </c>
      <c r="C4" s="44" t="s">
        <v>111</v>
      </c>
      <c r="D4" s="46"/>
      <c r="E4" s="44">
        <v>3600</v>
      </c>
      <c r="F4" s="44">
        <v>3600</v>
      </c>
      <c r="G4" s="44">
        <v>3600</v>
      </c>
      <c r="H4" s="50"/>
      <c r="J4" s="3" t="s">
        <v>122</v>
      </c>
      <c r="K4" s="44" t="s">
        <v>111</v>
      </c>
      <c r="L4" s="46"/>
      <c r="M4" s="44">
        <v>5000</v>
      </c>
      <c r="N4" s="44">
        <v>5000</v>
      </c>
      <c r="O4" s="44">
        <v>5000</v>
      </c>
      <c r="P4" s="50"/>
    </row>
    <row r="5" spans="2:16" x14ac:dyDescent="0.3">
      <c r="B5" s="3">
        <v>42</v>
      </c>
      <c r="C5" s="40">
        <v>2025</v>
      </c>
      <c r="D5" s="40">
        <v>20000</v>
      </c>
      <c r="E5" s="40">
        <v>20000</v>
      </c>
      <c r="F5" s="40">
        <v>20000</v>
      </c>
      <c r="G5" s="40">
        <v>20000</v>
      </c>
      <c r="H5" s="3"/>
      <c r="J5" s="3">
        <v>42</v>
      </c>
      <c r="K5" s="40">
        <v>2025</v>
      </c>
      <c r="L5" s="40">
        <v>40000</v>
      </c>
      <c r="M5" s="40">
        <v>20000</v>
      </c>
      <c r="N5" s="40">
        <v>20000</v>
      </c>
      <c r="O5" s="40">
        <v>20000</v>
      </c>
      <c r="P5" s="3"/>
    </row>
    <row r="6" spans="2:16" x14ac:dyDescent="0.3">
      <c r="B6" s="3">
        <v>43</v>
      </c>
      <c r="C6" s="40">
        <v>2026</v>
      </c>
      <c r="D6" s="40">
        <v>31100</v>
      </c>
      <c r="E6" s="40">
        <v>31100</v>
      </c>
      <c r="F6" s="40">
        <v>31100</v>
      </c>
      <c r="G6" s="40">
        <v>31100</v>
      </c>
      <c r="H6" s="45">
        <f>(D6-D5)/D5</f>
        <v>0.55500000000000005</v>
      </c>
      <c r="J6" s="3">
        <v>43</v>
      </c>
      <c r="K6" s="40">
        <v>2026</v>
      </c>
      <c r="L6" s="40">
        <v>80000</v>
      </c>
      <c r="M6" s="41">
        <f>IF($L6="",M5+M5*M$3+M$4,$L6)</f>
        <v>80000</v>
      </c>
      <c r="N6" s="41">
        <f>IF($L6="",N5+N5*N$3+N$4,$L6)</f>
        <v>80000</v>
      </c>
      <c r="O6" s="41">
        <f>IF($L6="",O5+O5*O$3+O$4,$L6)</f>
        <v>80000</v>
      </c>
      <c r="P6" s="45">
        <f t="shared" ref="P6:P27" si="0">IF(L6="","",(L6-L5)/L5)</f>
        <v>1</v>
      </c>
    </row>
    <row r="7" spans="2:16" x14ac:dyDescent="0.3">
      <c r="B7" s="3">
        <v>44</v>
      </c>
      <c r="C7" s="40">
        <v>2027</v>
      </c>
      <c r="D7" s="40"/>
      <c r="E7" s="41">
        <f>IF($D7="",E6+E6*E$3+E$4,$D7)</f>
        <v>36566</v>
      </c>
      <c r="F7" s="41">
        <f t="shared" ref="F7:F27" si="1">IF($D7="",F6+F6*F$3+F$4,$D7)</f>
        <v>37188</v>
      </c>
      <c r="G7" s="41">
        <f t="shared" ref="G7:G27" si="2">IF($D7="",G6+G6*G$3+G$4,$D7)</f>
        <v>37810</v>
      </c>
      <c r="H7" s="45" t="str">
        <f t="shared" ref="H7:H27" si="3">IF(D7="","",(D7-D6)/D6)</f>
        <v/>
      </c>
      <c r="J7" s="3">
        <v>44</v>
      </c>
      <c r="K7" s="40">
        <v>2027</v>
      </c>
      <c r="L7" s="40"/>
      <c r="M7" s="41">
        <f>IF($D7="",M6+M6*M$3+M$4,$D7)</f>
        <v>89800</v>
      </c>
      <c r="N7" s="41">
        <f t="shared" ref="N7:O27" si="4">IF($D7="",N6+N6*N$3+N$4,$D7)</f>
        <v>91400</v>
      </c>
      <c r="O7" s="41">
        <f t="shared" si="4"/>
        <v>93000</v>
      </c>
      <c r="P7" s="45" t="str">
        <f t="shared" si="0"/>
        <v/>
      </c>
    </row>
    <row r="8" spans="2:16" x14ac:dyDescent="0.3">
      <c r="B8" s="3">
        <v>45</v>
      </c>
      <c r="C8" s="40">
        <v>2028</v>
      </c>
      <c r="D8" s="40"/>
      <c r="E8" s="41">
        <f t="shared" ref="E8:E27" si="5">IF($D8="",E7+E7*E$3+E$4,$D8)</f>
        <v>42359.96</v>
      </c>
      <c r="F8" s="41">
        <f t="shared" si="1"/>
        <v>43763.040000000001</v>
      </c>
      <c r="G8" s="41">
        <f t="shared" si="2"/>
        <v>45191</v>
      </c>
      <c r="H8" s="45" t="str">
        <f t="shared" si="3"/>
        <v/>
      </c>
      <c r="J8" s="3">
        <v>45</v>
      </c>
      <c r="K8" s="40">
        <v>2028</v>
      </c>
      <c r="L8" s="40"/>
      <c r="M8" s="41">
        <f t="shared" ref="M8:M27" si="6">IF($D8="",M7+M7*M$3+M$4,$D8)</f>
        <v>100188</v>
      </c>
      <c r="N8" s="41">
        <f t="shared" si="4"/>
        <v>103712</v>
      </c>
      <c r="O8" s="41">
        <f t="shared" si="4"/>
        <v>107300</v>
      </c>
      <c r="P8" s="45" t="str">
        <f t="shared" si="0"/>
        <v/>
      </c>
    </row>
    <row r="9" spans="2:16" x14ac:dyDescent="0.3">
      <c r="B9" s="3">
        <v>46</v>
      </c>
      <c r="C9" s="40">
        <v>2029</v>
      </c>
      <c r="D9" s="40"/>
      <c r="E9" s="41">
        <f t="shared" si="5"/>
        <v>48501.5576</v>
      </c>
      <c r="F9" s="41">
        <f t="shared" si="1"/>
        <v>50864.083200000001</v>
      </c>
      <c r="G9" s="41">
        <f t="shared" si="2"/>
        <v>53310.1</v>
      </c>
      <c r="H9" s="45" t="str">
        <f t="shared" si="3"/>
        <v/>
      </c>
      <c r="J9" s="3">
        <v>46</v>
      </c>
      <c r="K9" s="40">
        <v>2029</v>
      </c>
      <c r="L9" s="40"/>
      <c r="M9" s="41">
        <f t="shared" si="6"/>
        <v>111199.28</v>
      </c>
      <c r="N9" s="41">
        <f t="shared" si="4"/>
        <v>117008.96000000001</v>
      </c>
      <c r="O9" s="41">
        <f t="shared" si="4"/>
        <v>123030</v>
      </c>
      <c r="P9" s="45" t="str">
        <f t="shared" si="0"/>
        <v/>
      </c>
    </row>
    <row r="10" spans="2:16" x14ac:dyDescent="0.3">
      <c r="B10" s="3">
        <v>47</v>
      </c>
      <c r="C10" s="40">
        <v>2030</v>
      </c>
      <c r="D10" s="40"/>
      <c r="E10" s="41">
        <f t="shared" si="5"/>
        <v>55011.651056000002</v>
      </c>
      <c r="F10" s="41">
        <f t="shared" si="1"/>
        <v>58533.209856000001</v>
      </c>
      <c r="G10" s="41">
        <f t="shared" si="2"/>
        <v>62241.11</v>
      </c>
      <c r="H10" s="45" t="str">
        <f t="shared" si="3"/>
        <v/>
      </c>
      <c r="J10" s="3">
        <v>47</v>
      </c>
      <c r="K10" s="40">
        <v>2030</v>
      </c>
      <c r="L10" s="40"/>
      <c r="M10" s="41">
        <f t="shared" si="6"/>
        <v>122871.2368</v>
      </c>
      <c r="N10" s="41">
        <f t="shared" si="4"/>
        <v>131369.67680000002</v>
      </c>
      <c r="O10" s="41">
        <f t="shared" si="4"/>
        <v>140333</v>
      </c>
      <c r="P10" s="45" t="str">
        <f t="shared" si="0"/>
        <v/>
      </c>
    </row>
    <row r="11" spans="2:16" x14ac:dyDescent="0.3">
      <c r="B11" s="3">
        <v>48</v>
      </c>
      <c r="C11" s="40">
        <v>2031</v>
      </c>
      <c r="D11" s="40"/>
      <c r="E11" s="41">
        <f t="shared" si="5"/>
        <v>61912.350119360002</v>
      </c>
      <c r="F11" s="41">
        <f t="shared" si="1"/>
        <v>66815.866644480004</v>
      </c>
      <c r="G11" s="41">
        <f t="shared" si="2"/>
        <v>72065.221000000005</v>
      </c>
      <c r="H11" s="45" t="str">
        <f t="shared" si="3"/>
        <v/>
      </c>
      <c r="J11" s="3">
        <v>48</v>
      </c>
      <c r="K11" s="40">
        <v>2031</v>
      </c>
      <c r="L11" s="40"/>
      <c r="M11" s="41">
        <f t="shared" si="6"/>
        <v>135243.511008</v>
      </c>
      <c r="N11" s="41">
        <f t="shared" si="4"/>
        <v>146879.25094400003</v>
      </c>
      <c r="O11" s="41">
        <f t="shared" si="4"/>
        <v>159366.29999999999</v>
      </c>
      <c r="P11" s="45" t="str">
        <f t="shared" si="0"/>
        <v/>
      </c>
    </row>
    <row r="12" spans="2:16" x14ac:dyDescent="0.3">
      <c r="B12" s="3">
        <v>49</v>
      </c>
      <c r="C12" s="40">
        <v>2032</v>
      </c>
      <c r="D12" s="40"/>
      <c r="E12" s="41">
        <f t="shared" si="5"/>
        <v>69227.091126521598</v>
      </c>
      <c r="F12" s="41">
        <f t="shared" si="1"/>
        <v>75761.135976038408</v>
      </c>
      <c r="G12" s="41">
        <f t="shared" si="2"/>
        <v>82871.743100000007</v>
      </c>
      <c r="H12" s="45" t="str">
        <f t="shared" si="3"/>
        <v/>
      </c>
      <c r="J12" s="3">
        <v>49</v>
      </c>
      <c r="K12" s="40">
        <v>2032</v>
      </c>
      <c r="L12" s="40"/>
      <c r="M12" s="41">
        <f t="shared" si="6"/>
        <v>148358.12166847999</v>
      </c>
      <c r="N12" s="41">
        <f t="shared" si="4"/>
        <v>163629.59101952004</v>
      </c>
      <c r="O12" s="41">
        <f t="shared" si="4"/>
        <v>180302.93</v>
      </c>
      <c r="P12" s="45" t="str">
        <f t="shared" si="0"/>
        <v/>
      </c>
    </row>
    <row r="13" spans="2:16" x14ac:dyDescent="0.3">
      <c r="B13" s="3">
        <v>50</v>
      </c>
      <c r="C13" s="40">
        <v>2033</v>
      </c>
      <c r="D13" s="40"/>
      <c r="E13" s="41">
        <f t="shared" si="5"/>
        <v>76980.716594112891</v>
      </c>
      <c r="F13" s="41">
        <f t="shared" si="1"/>
        <v>85422.026854121475</v>
      </c>
      <c r="G13" s="41">
        <f t="shared" si="2"/>
        <v>94758.917410000009</v>
      </c>
      <c r="H13" s="45" t="str">
        <f t="shared" si="3"/>
        <v/>
      </c>
      <c r="J13" s="3">
        <v>50</v>
      </c>
      <c r="K13" s="40">
        <v>2033</v>
      </c>
      <c r="L13" s="40"/>
      <c r="M13" s="41">
        <f t="shared" si="6"/>
        <v>162259.60896858879</v>
      </c>
      <c r="N13" s="41">
        <f t="shared" si="4"/>
        <v>181719.95830108164</v>
      </c>
      <c r="O13" s="41">
        <f t="shared" si="4"/>
        <v>203333.223</v>
      </c>
      <c r="P13" s="45" t="str">
        <f t="shared" si="0"/>
        <v/>
      </c>
    </row>
    <row r="14" spans="2:16" x14ac:dyDescent="0.3">
      <c r="B14" s="3">
        <v>51</v>
      </c>
      <c r="C14" s="40">
        <v>2034</v>
      </c>
      <c r="D14" s="40"/>
      <c r="E14" s="41">
        <f t="shared" si="5"/>
        <v>85199.559589759665</v>
      </c>
      <c r="F14" s="41">
        <f t="shared" si="1"/>
        <v>95855.789002451187</v>
      </c>
      <c r="G14" s="41">
        <f t="shared" si="2"/>
        <v>107834.80915100001</v>
      </c>
      <c r="H14" s="45" t="str">
        <f t="shared" si="3"/>
        <v/>
      </c>
      <c r="J14" s="3">
        <v>51</v>
      </c>
      <c r="K14" s="40">
        <v>2034</v>
      </c>
      <c r="L14" s="40"/>
      <c r="M14" s="41">
        <f t="shared" si="6"/>
        <v>176995.18550670412</v>
      </c>
      <c r="N14" s="41">
        <f t="shared" si="4"/>
        <v>201257.55496516818</v>
      </c>
      <c r="O14" s="41">
        <f t="shared" si="4"/>
        <v>228666.5453</v>
      </c>
      <c r="P14" s="45" t="str">
        <f t="shared" si="0"/>
        <v/>
      </c>
    </row>
    <row r="15" spans="2:16" x14ac:dyDescent="0.3">
      <c r="B15" s="3">
        <v>52</v>
      </c>
      <c r="C15" s="40">
        <v>2035</v>
      </c>
      <c r="D15" s="40"/>
      <c r="E15" s="41">
        <f t="shared" si="5"/>
        <v>93911.533165145243</v>
      </c>
      <c r="F15" s="41">
        <f t="shared" si="1"/>
        <v>107124.25212264727</v>
      </c>
      <c r="G15" s="41">
        <f t="shared" si="2"/>
        <v>122218.29006610002</v>
      </c>
      <c r="H15" s="45" t="str">
        <f t="shared" si="3"/>
        <v/>
      </c>
      <c r="J15" s="3">
        <v>52</v>
      </c>
      <c r="K15" s="40">
        <v>2035</v>
      </c>
      <c r="L15" s="40"/>
      <c r="M15" s="41">
        <f t="shared" si="6"/>
        <v>192614.89663710637</v>
      </c>
      <c r="N15" s="41">
        <f t="shared" si="4"/>
        <v>222358.15936238164</v>
      </c>
      <c r="O15" s="41">
        <f t="shared" si="4"/>
        <v>256533.19983</v>
      </c>
      <c r="P15" s="45" t="str">
        <f t="shared" si="0"/>
        <v/>
      </c>
    </row>
    <row r="16" spans="2:16" x14ac:dyDescent="0.3">
      <c r="B16" s="3">
        <v>53</v>
      </c>
      <c r="C16" s="40">
        <v>2036</v>
      </c>
      <c r="D16" s="40"/>
      <c r="E16" s="41">
        <f t="shared" si="5"/>
        <v>103146.22515505395</v>
      </c>
      <c r="F16" s="41">
        <f t="shared" si="1"/>
        <v>119294.19229245906</v>
      </c>
      <c r="G16" s="41">
        <f t="shared" si="2"/>
        <v>138040.11907271002</v>
      </c>
      <c r="H16" s="45" t="str">
        <f t="shared" si="3"/>
        <v/>
      </c>
      <c r="J16" s="3">
        <v>53</v>
      </c>
      <c r="K16" s="40">
        <v>2036</v>
      </c>
      <c r="L16" s="40"/>
      <c r="M16" s="41">
        <f t="shared" si="6"/>
        <v>209171.79043533275</v>
      </c>
      <c r="N16" s="41">
        <f t="shared" si="4"/>
        <v>245146.81211137219</v>
      </c>
      <c r="O16" s="41">
        <f t="shared" si="4"/>
        <v>287186.51981299999</v>
      </c>
      <c r="P16" s="45" t="str">
        <f t="shared" si="0"/>
        <v/>
      </c>
    </row>
    <row r="17" spans="2:16" x14ac:dyDescent="0.3">
      <c r="B17" s="3">
        <v>54</v>
      </c>
      <c r="C17" s="40">
        <v>2037</v>
      </c>
      <c r="D17" s="40"/>
      <c r="E17" s="41">
        <f t="shared" si="5"/>
        <v>112934.99866435719</v>
      </c>
      <c r="F17" s="41">
        <f t="shared" si="1"/>
        <v>132437.7276758558</v>
      </c>
      <c r="G17" s="41">
        <f t="shared" si="2"/>
        <v>155444.13097998101</v>
      </c>
      <c r="H17" s="45" t="str">
        <f t="shared" si="3"/>
        <v/>
      </c>
      <c r="J17" s="3">
        <v>54</v>
      </c>
      <c r="K17" s="40">
        <v>2037</v>
      </c>
      <c r="L17" s="40"/>
      <c r="M17" s="41">
        <f t="shared" si="6"/>
        <v>226722.0978614527</v>
      </c>
      <c r="N17" s="41">
        <f t="shared" si="4"/>
        <v>269758.55708028196</v>
      </c>
      <c r="O17" s="41">
        <f t="shared" si="4"/>
        <v>320905.17179429997</v>
      </c>
      <c r="P17" s="45" t="str">
        <f t="shared" si="0"/>
        <v/>
      </c>
    </row>
    <row r="18" spans="2:16" x14ac:dyDescent="0.3">
      <c r="B18" s="3">
        <v>55</v>
      </c>
      <c r="C18" s="40">
        <v>2038</v>
      </c>
      <c r="D18" s="40"/>
      <c r="E18" s="41">
        <f t="shared" si="5"/>
        <v>123311.09858421862</v>
      </c>
      <c r="F18" s="41">
        <f t="shared" si="1"/>
        <v>146632.74588992426</v>
      </c>
      <c r="G18" s="41">
        <f t="shared" si="2"/>
        <v>174588.54407797911</v>
      </c>
      <c r="H18" s="45" t="str">
        <f t="shared" si="3"/>
        <v/>
      </c>
      <c r="J18" s="3">
        <v>55</v>
      </c>
      <c r="K18" s="40">
        <v>2038</v>
      </c>
      <c r="L18" s="40"/>
      <c r="M18" s="41">
        <f t="shared" si="6"/>
        <v>245325.42373313985</v>
      </c>
      <c r="N18" s="41">
        <f t="shared" si="4"/>
        <v>296339.2416467045</v>
      </c>
      <c r="O18" s="41">
        <f t="shared" si="4"/>
        <v>357995.68897372996</v>
      </c>
      <c r="P18" s="45" t="str">
        <f t="shared" si="0"/>
        <v/>
      </c>
    </row>
    <row r="19" spans="2:16" x14ac:dyDescent="0.3">
      <c r="B19" s="3"/>
      <c r="C19" s="40">
        <v>2039</v>
      </c>
      <c r="D19" s="40"/>
      <c r="E19" s="41">
        <f t="shared" si="5"/>
        <v>134309.76449927175</v>
      </c>
      <c r="F19" s="41">
        <f t="shared" si="1"/>
        <v>161963.3655611182</v>
      </c>
      <c r="G19" s="41">
        <f t="shared" si="2"/>
        <v>195647.39848577703</v>
      </c>
      <c r="H19" s="45" t="str">
        <f t="shared" si="3"/>
        <v/>
      </c>
      <c r="J19" s="3">
        <v>56</v>
      </c>
      <c r="K19" s="40">
        <v>2039</v>
      </c>
      <c r="L19" s="40"/>
      <c r="M19" s="41">
        <f t="shared" si="6"/>
        <v>265044.94915712823</v>
      </c>
      <c r="N19" s="41">
        <f t="shared" si="4"/>
        <v>325046.38097844087</v>
      </c>
      <c r="O19" s="41">
        <f t="shared" si="4"/>
        <v>398795.25787110295</v>
      </c>
      <c r="P19" s="45" t="str">
        <f t="shared" si="0"/>
        <v/>
      </c>
    </row>
    <row r="20" spans="2:16" x14ac:dyDescent="0.3">
      <c r="B20" s="3"/>
      <c r="C20" s="40">
        <v>2040</v>
      </c>
      <c r="D20" s="40"/>
      <c r="E20" s="41">
        <f t="shared" si="5"/>
        <v>145968.35036922805</v>
      </c>
      <c r="F20" s="41">
        <f t="shared" si="1"/>
        <v>178520.43480600766</v>
      </c>
      <c r="G20" s="41">
        <f t="shared" si="2"/>
        <v>218812.13833435473</v>
      </c>
      <c r="H20" s="45" t="str">
        <f t="shared" si="3"/>
        <v/>
      </c>
      <c r="J20" s="3">
        <v>57</v>
      </c>
      <c r="K20" s="40">
        <v>2040</v>
      </c>
      <c r="L20" s="40"/>
      <c r="M20" s="41">
        <f t="shared" si="6"/>
        <v>285947.64610655594</v>
      </c>
      <c r="N20" s="41">
        <f t="shared" si="4"/>
        <v>356050.09145671612</v>
      </c>
      <c r="O20" s="41">
        <f t="shared" si="4"/>
        <v>443674.78365821321</v>
      </c>
      <c r="P20" s="45" t="str">
        <f t="shared" si="0"/>
        <v/>
      </c>
    </row>
    <row r="21" spans="2:16" x14ac:dyDescent="0.3">
      <c r="B21" s="3"/>
      <c r="C21" s="40">
        <v>2041</v>
      </c>
      <c r="D21" s="40"/>
      <c r="E21" s="41">
        <f t="shared" si="5"/>
        <v>158326.45139138174</v>
      </c>
      <c r="F21" s="41">
        <f t="shared" si="1"/>
        <v>196402.06959048827</v>
      </c>
      <c r="G21" s="41">
        <f t="shared" si="2"/>
        <v>244293.3521677902</v>
      </c>
      <c r="H21" s="45" t="str">
        <f t="shared" si="3"/>
        <v/>
      </c>
      <c r="J21" s="3">
        <v>58</v>
      </c>
      <c r="K21" s="40">
        <v>2041</v>
      </c>
      <c r="L21" s="40"/>
      <c r="M21" s="41">
        <f t="shared" si="6"/>
        <v>308104.50487294933</v>
      </c>
      <c r="N21" s="41">
        <f t="shared" si="4"/>
        <v>389534.09877325338</v>
      </c>
      <c r="O21" s="41">
        <f t="shared" si="4"/>
        <v>493042.26202403451</v>
      </c>
      <c r="P21" s="45" t="str">
        <f t="shared" si="0"/>
        <v/>
      </c>
    </row>
    <row r="22" spans="2:16" x14ac:dyDescent="0.3">
      <c r="B22" s="3"/>
      <c r="C22" s="40">
        <v>2042</v>
      </c>
      <c r="D22" s="40"/>
      <c r="E22" s="41">
        <f t="shared" si="5"/>
        <v>171426.03847486465</v>
      </c>
      <c r="F22" s="41">
        <f t="shared" si="1"/>
        <v>215714.23515772732</v>
      </c>
      <c r="G22" s="41">
        <f t="shared" si="2"/>
        <v>272322.6873845692</v>
      </c>
      <c r="H22" s="45" t="str">
        <f t="shared" si="3"/>
        <v/>
      </c>
      <c r="J22" s="3">
        <v>59</v>
      </c>
      <c r="K22" s="40">
        <v>2042</v>
      </c>
      <c r="L22" s="40"/>
      <c r="M22" s="41">
        <f t="shared" si="6"/>
        <v>331590.77516532631</v>
      </c>
      <c r="N22" s="41">
        <f t="shared" si="4"/>
        <v>425696.82667511364</v>
      </c>
      <c r="O22" s="41">
        <f t="shared" si="4"/>
        <v>547346.48822643794</v>
      </c>
      <c r="P22" s="45" t="str">
        <f t="shared" si="0"/>
        <v/>
      </c>
    </row>
    <row r="23" spans="2:16" x14ac:dyDescent="0.3">
      <c r="B23" s="3"/>
      <c r="C23" s="40">
        <v>2043</v>
      </c>
      <c r="D23" s="40"/>
      <c r="E23" s="41">
        <f t="shared" si="5"/>
        <v>185311.60078335652</v>
      </c>
      <c r="F23" s="41">
        <f t="shared" si="1"/>
        <v>236571.37397034551</v>
      </c>
      <c r="G23" s="41">
        <f t="shared" si="2"/>
        <v>303154.95612302615</v>
      </c>
      <c r="H23" s="45" t="str">
        <f t="shared" si="3"/>
        <v/>
      </c>
      <c r="J23" s="3">
        <v>60</v>
      </c>
      <c r="K23" s="40">
        <v>2043</v>
      </c>
      <c r="L23" s="40"/>
      <c r="M23" s="41">
        <f t="shared" si="6"/>
        <v>356486.22167524591</v>
      </c>
      <c r="N23" s="41">
        <f t="shared" si="4"/>
        <v>464752.57280912274</v>
      </c>
      <c r="O23" s="41">
        <f t="shared" si="4"/>
        <v>607081.13704908174</v>
      </c>
      <c r="P23" s="45" t="str">
        <f t="shared" si="0"/>
        <v/>
      </c>
    </row>
    <row r="24" spans="2:16" x14ac:dyDescent="0.3">
      <c r="B24" s="3"/>
      <c r="C24" s="40">
        <v>2044</v>
      </c>
      <c r="D24" s="40"/>
      <c r="E24" s="41">
        <f t="shared" si="5"/>
        <v>200030.29683035793</v>
      </c>
      <c r="F24" s="41">
        <f t="shared" si="1"/>
        <v>259097.08388797316</v>
      </c>
      <c r="G24" s="41">
        <f t="shared" si="2"/>
        <v>337070.45173532877</v>
      </c>
      <c r="H24" s="45" t="str">
        <f t="shared" si="3"/>
        <v/>
      </c>
      <c r="J24" s="3">
        <v>61</v>
      </c>
      <c r="K24" s="40">
        <v>2044</v>
      </c>
      <c r="L24" s="40"/>
      <c r="M24" s="41">
        <f t="shared" si="6"/>
        <v>382875.39497576066</v>
      </c>
      <c r="N24" s="41">
        <f t="shared" si="4"/>
        <v>506932.77863385255</v>
      </c>
      <c r="O24" s="41">
        <f t="shared" si="4"/>
        <v>672789.25075398991</v>
      </c>
      <c r="P24" s="45" t="str">
        <f t="shared" si="0"/>
        <v/>
      </c>
    </row>
    <row r="25" spans="2:16" x14ac:dyDescent="0.3">
      <c r="B25" s="3"/>
      <c r="C25" s="40">
        <v>2045</v>
      </c>
      <c r="D25" s="40"/>
      <c r="E25" s="41">
        <f t="shared" si="5"/>
        <v>215632.11464017941</v>
      </c>
      <c r="F25" s="41">
        <f t="shared" si="1"/>
        <v>283424.850599011</v>
      </c>
      <c r="G25" s="41">
        <f t="shared" si="2"/>
        <v>374377.49690886162</v>
      </c>
      <c r="H25" s="45" t="str">
        <f t="shared" si="3"/>
        <v/>
      </c>
      <c r="J25" s="3">
        <v>62</v>
      </c>
      <c r="K25" s="40">
        <v>2045</v>
      </c>
      <c r="L25" s="40"/>
      <c r="M25" s="41">
        <f t="shared" si="6"/>
        <v>410847.9186743063</v>
      </c>
      <c r="N25" s="41">
        <f t="shared" si="4"/>
        <v>552487.40092456073</v>
      </c>
      <c r="O25" s="41">
        <f t="shared" si="4"/>
        <v>745068.1758293889</v>
      </c>
      <c r="P25" s="45" t="str">
        <f t="shared" si="0"/>
        <v/>
      </c>
    </row>
    <row r="26" spans="2:16" x14ac:dyDescent="0.3">
      <c r="B26" s="3"/>
      <c r="C26" s="40">
        <v>2046</v>
      </c>
      <c r="D26" s="40"/>
      <c r="E26" s="41">
        <f t="shared" si="5"/>
        <v>232170.04151859018</v>
      </c>
      <c r="F26" s="41">
        <f t="shared" si="1"/>
        <v>309698.83864693186</v>
      </c>
      <c r="G26" s="41">
        <f t="shared" si="2"/>
        <v>415415.2465997478</v>
      </c>
      <c r="H26" s="45" t="str">
        <f t="shared" si="3"/>
        <v/>
      </c>
      <c r="J26" s="3">
        <v>63</v>
      </c>
      <c r="K26" s="40">
        <v>2046</v>
      </c>
      <c r="L26" s="40"/>
      <c r="M26" s="41">
        <f t="shared" si="6"/>
        <v>440498.79379476467</v>
      </c>
      <c r="N26" s="41">
        <f t="shared" si="4"/>
        <v>601686.39299852564</v>
      </c>
      <c r="O26" s="41">
        <f t="shared" si="4"/>
        <v>824574.99341232784</v>
      </c>
      <c r="P26" s="45" t="str">
        <f t="shared" si="0"/>
        <v/>
      </c>
    </row>
    <row r="27" spans="2:16" x14ac:dyDescent="0.3">
      <c r="B27" s="3"/>
      <c r="C27" s="40">
        <v>2047</v>
      </c>
      <c r="D27" s="40"/>
      <c r="E27" s="41">
        <f t="shared" si="5"/>
        <v>249700.24400970558</v>
      </c>
      <c r="F27" s="41">
        <f t="shared" si="1"/>
        <v>338074.74573868641</v>
      </c>
      <c r="G27" s="41">
        <f t="shared" si="2"/>
        <v>460556.77125972259</v>
      </c>
      <c r="H27" s="45" t="str">
        <f t="shared" si="3"/>
        <v/>
      </c>
      <c r="J27" s="3">
        <v>64</v>
      </c>
      <c r="K27" s="40">
        <v>2047</v>
      </c>
      <c r="L27" s="40"/>
      <c r="M27" s="41">
        <f t="shared" si="6"/>
        <v>471928.72142245056</v>
      </c>
      <c r="N27" s="41">
        <f t="shared" si="4"/>
        <v>654821.30443840765</v>
      </c>
      <c r="O27" s="41">
        <f t="shared" si="4"/>
        <v>912032.49275356065</v>
      </c>
      <c r="P27" s="45" t="str">
        <f t="shared" si="0"/>
        <v/>
      </c>
    </row>
  </sheetData>
  <mergeCells count="6">
    <mergeCell ref="M2:O2"/>
    <mergeCell ref="L3:L4"/>
    <mergeCell ref="P3:P4"/>
    <mergeCell ref="D3:D4"/>
    <mergeCell ref="E2:G2"/>
    <mergeCell ref="H3:H4"/>
  </mergeCells>
  <phoneticPr fontId="2" type="noConversion"/>
  <conditionalFormatting sqref="D5:G27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{88815448-95A5-4C8A-8155-2F858BFB2B7E}</x14:id>
        </ext>
      </extLst>
    </cfRule>
  </conditionalFormatting>
  <conditionalFormatting sqref="L5:O2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{FF000595-5F54-413A-8BA3-1DB859DC0837}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815448-95A5-4C8A-8155-2F858BFB2B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D5:G27</xm:sqref>
        </x14:conditionalFormatting>
        <x14:conditionalFormatting xmlns:xm="http://schemas.microsoft.com/office/excel/2006/main">
          <x14:cfRule type="dataBar" id="{FF000595-5F54-413A-8BA3-1DB859DC08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L5:O27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workbookViewId="0">
      <selection activeCell="F2" sqref="F2"/>
    </sheetView>
  </sheetViews>
  <sheetFormatPr defaultRowHeight="16.5" x14ac:dyDescent="0.3"/>
  <sheetData>
    <row r="1" spans="1:7" x14ac:dyDescent="0.3">
      <c r="A1" s="3"/>
      <c r="B1" s="3"/>
      <c r="C1" s="3"/>
      <c r="D1" s="50" t="s">
        <v>121</v>
      </c>
      <c r="E1" s="50"/>
      <c r="F1" s="50"/>
      <c r="G1" s="3"/>
    </row>
    <row r="2" spans="1:7" x14ac:dyDescent="0.3">
      <c r="A2" s="3"/>
      <c r="B2" s="44" t="s">
        <v>110</v>
      </c>
      <c r="C2" s="46" t="s">
        <v>112</v>
      </c>
      <c r="D2" s="34">
        <v>0.06</v>
      </c>
      <c r="E2" s="34">
        <v>0.08</v>
      </c>
      <c r="F2" s="34">
        <v>0.1</v>
      </c>
      <c r="G2" s="51" t="s">
        <v>124</v>
      </c>
    </row>
    <row r="3" spans="1:7" x14ac:dyDescent="0.3">
      <c r="A3" s="3" t="s">
        <v>122</v>
      </c>
      <c r="B3" s="44" t="s">
        <v>111</v>
      </c>
      <c r="C3" s="46"/>
      <c r="D3" s="44">
        <v>1000</v>
      </c>
      <c r="E3" s="44">
        <v>1000</v>
      </c>
      <c r="F3" s="44">
        <v>1000</v>
      </c>
      <c r="G3" s="50"/>
    </row>
    <row r="4" spans="1:7" x14ac:dyDescent="0.3">
      <c r="A4" s="3">
        <v>10</v>
      </c>
      <c r="B4" s="40">
        <v>2025</v>
      </c>
      <c r="C4" s="40">
        <v>2000</v>
      </c>
      <c r="D4" s="40">
        <v>2000</v>
      </c>
      <c r="E4" s="40">
        <v>2000</v>
      </c>
      <c r="F4" s="40">
        <v>2000</v>
      </c>
      <c r="G4" s="3"/>
    </row>
    <row r="5" spans="1:7" x14ac:dyDescent="0.3">
      <c r="A5" s="3">
        <v>11</v>
      </c>
      <c r="B5" s="40">
        <v>2026</v>
      </c>
      <c r="C5" s="40">
        <v>5300</v>
      </c>
      <c r="D5" s="41">
        <f>IF(C5="",D4+D4*D$2+D$3,C5)</f>
        <v>5300</v>
      </c>
      <c r="E5" s="41">
        <f t="shared" ref="E5:F5" si="0">IF(D5="",E4+E4*E$2+E$3,D5)</f>
        <v>5300</v>
      </c>
      <c r="F5" s="41">
        <f t="shared" si="0"/>
        <v>5300</v>
      </c>
      <c r="G5" s="45">
        <f>IF(C5="","",(C5-C4)/C4)</f>
        <v>1.65</v>
      </c>
    </row>
    <row r="6" spans="1:7" x14ac:dyDescent="0.3">
      <c r="A6" s="3">
        <v>12</v>
      </c>
      <c r="B6" s="40">
        <v>2027</v>
      </c>
      <c r="C6" s="40"/>
      <c r="D6" s="41">
        <f>IF($C6="",D5+D5*D$2+D$3,$C6)</f>
        <v>6618</v>
      </c>
      <c r="E6" s="41">
        <f t="shared" ref="E6:E42" si="1">IF($C6="",E5+E5*E$2+E$3,$C6)</f>
        <v>6724</v>
      </c>
      <c r="F6" s="41">
        <f t="shared" ref="F6:F42" si="2">IF($C6="",F5+F5*F$2+F$3,$C6)</f>
        <v>6830</v>
      </c>
      <c r="G6" s="45" t="str">
        <f>IF(C6="","",(C6-C5)/C5)</f>
        <v/>
      </c>
    </row>
    <row r="7" spans="1:7" x14ac:dyDescent="0.3">
      <c r="A7" s="3">
        <v>13</v>
      </c>
      <c r="B7" s="40">
        <v>2028</v>
      </c>
      <c r="C7" s="40"/>
      <c r="D7" s="41">
        <f t="shared" ref="D7:D42" si="3">IF($C7="",D6+D6*D$2+D$3,$C7)</f>
        <v>8015.08</v>
      </c>
      <c r="E7" s="41">
        <f t="shared" si="1"/>
        <v>8261.92</v>
      </c>
      <c r="F7" s="41">
        <f t="shared" si="2"/>
        <v>8513</v>
      </c>
      <c r="G7" s="45" t="str">
        <f t="shared" ref="G7:G42" si="4">IF(C7="","",(C7-C6)/C6)</f>
        <v/>
      </c>
    </row>
    <row r="8" spans="1:7" x14ac:dyDescent="0.3">
      <c r="A8" s="3">
        <v>14</v>
      </c>
      <c r="B8" s="40">
        <v>2029</v>
      </c>
      <c r="C8" s="40"/>
      <c r="D8" s="41">
        <f t="shared" si="3"/>
        <v>9495.9848000000002</v>
      </c>
      <c r="E8" s="41">
        <f t="shared" si="1"/>
        <v>9922.8736000000008</v>
      </c>
      <c r="F8" s="41">
        <f t="shared" si="2"/>
        <v>10364.299999999999</v>
      </c>
      <c r="G8" s="45" t="str">
        <f t="shared" si="4"/>
        <v/>
      </c>
    </row>
    <row r="9" spans="1:7" x14ac:dyDescent="0.3">
      <c r="A9" s="3">
        <v>15</v>
      </c>
      <c r="B9" s="40">
        <v>2030</v>
      </c>
      <c r="C9" s="40"/>
      <c r="D9" s="41">
        <f t="shared" si="3"/>
        <v>11065.743888000001</v>
      </c>
      <c r="E9" s="41">
        <f t="shared" si="1"/>
        <v>11716.703488000001</v>
      </c>
      <c r="F9" s="41">
        <f t="shared" si="2"/>
        <v>12400.73</v>
      </c>
      <c r="G9" s="45" t="str">
        <f t="shared" si="4"/>
        <v/>
      </c>
    </row>
    <row r="10" spans="1:7" x14ac:dyDescent="0.3">
      <c r="A10" s="3">
        <v>16</v>
      </c>
      <c r="B10" s="40">
        <v>2031</v>
      </c>
      <c r="C10" s="40"/>
      <c r="D10" s="41">
        <f t="shared" si="3"/>
        <v>12729.688521280001</v>
      </c>
      <c r="E10" s="41">
        <f t="shared" si="1"/>
        <v>13654.039767040002</v>
      </c>
      <c r="F10" s="41">
        <f t="shared" si="2"/>
        <v>14640.803</v>
      </c>
      <c r="G10" s="45" t="str">
        <f t="shared" si="4"/>
        <v/>
      </c>
    </row>
    <row r="11" spans="1:7" x14ac:dyDescent="0.3">
      <c r="A11" s="3">
        <v>17</v>
      </c>
      <c r="B11" s="40">
        <v>2032</v>
      </c>
      <c r="C11" s="40"/>
      <c r="D11" s="41">
        <f t="shared" si="3"/>
        <v>14493.469832556801</v>
      </c>
      <c r="E11" s="41">
        <f t="shared" si="1"/>
        <v>15746.362948403203</v>
      </c>
      <c r="F11" s="41">
        <f t="shared" si="2"/>
        <v>17104.883300000001</v>
      </c>
      <c r="G11" s="45" t="str">
        <f t="shared" si="4"/>
        <v/>
      </c>
    </row>
    <row r="12" spans="1:7" x14ac:dyDescent="0.3">
      <c r="A12" s="3">
        <v>18</v>
      </c>
      <c r="B12" s="40">
        <v>2033</v>
      </c>
      <c r="C12" s="40"/>
      <c r="D12" s="41">
        <f t="shared" si="3"/>
        <v>16363.078022510208</v>
      </c>
      <c r="E12" s="41">
        <f t="shared" si="1"/>
        <v>18006.071984275459</v>
      </c>
      <c r="F12" s="41">
        <f t="shared" si="2"/>
        <v>19815.371630000001</v>
      </c>
      <c r="G12" s="45" t="str">
        <f t="shared" si="4"/>
        <v/>
      </c>
    </row>
    <row r="13" spans="1:7" x14ac:dyDescent="0.3">
      <c r="A13" s="3">
        <v>19</v>
      </c>
      <c r="B13" s="40">
        <v>2034</v>
      </c>
      <c r="C13" s="40"/>
      <c r="D13" s="41">
        <f t="shared" si="3"/>
        <v>18344.862703860821</v>
      </c>
      <c r="E13" s="41">
        <f t="shared" si="1"/>
        <v>20446.557743017496</v>
      </c>
      <c r="F13" s="41">
        <f t="shared" si="2"/>
        <v>22796.908793000002</v>
      </c>
      <c r="G13" s="45" t="str">
        <f t="shared" si="4"/>
        <v/>
      </c>
    </row>
    <row r="14" spans="1:7" x14ac:dyDescent="0.3">
      <c r="A14" s="3">
        <v>20</v>
      </c>
      <c r="B14" s="40">
        <v>2035</v>
      </c>
      <c r="C14" s="40"/>
      <c r="D14" s="41">
        <f t="shared" si="3"/>
        <v>20445.554466092472</v>
      </c>
      <c r="E14" s="41">
        <f t="shared" si="1"/>
        <v>23082.282362458896</v>
      </c>
      <c r="F14" s="41">
        <f t="shared" si="2"/>
        <v>26076.599672300003</v>
      </c>
      <c r="G14" s="45" t="str">
        <f t="shared" si="4"/>
        <v/>
      </c>
    </row>
    <row r="15" spans="1:7" x14ac:dyDescent="0.3">
      <c r="A15" s="3">
        <v>21</v>
      </c>
      <c r="B15" s="40">
        <v>2036</v>
      </c>
      <c r="C15" s="40"/>
      <c r="D15" s="41">
        <f t="shared" si="3"/>
        <v>22672.28773405802</v>
      </c>
      <c r="E15" s="41">
        <f t="shared" si="1"/>
        <v>25928.864951455609</v>
      </c>
      <c r="F15" s="41">
        <f t="shared" si="2"/>
        <v>29684.259639530002</v>
      </c>
      <c r="G15" s="45" t="str">
        <f t="shared" si="4"/>
        <v/>
      </c>
    </row>
    <row r="16" spans="1:7" x14ac:dyDescent="0.3">
      <c r="A16" s="3">
        <v>22</v>
      </c>
      <c r="B16" s="40">
        <v>2037</v>
      </c>
      <c r="C16" s="40"/>
      <c r="D16" s="41">
        <f t="shared" si="3"/>
        <v>25032.624998101503</v>
      </c>
      <c r="E16" s="41">
        <f t="shared" si="1"/>
        <v>29003.174147572059</v>
      </c>
      <c r="F16" s="41">
        <f t="shared" si="2"/>
        <v>33652.685603482998</v>
      </c>
      <c r="G16" s="45" t="str">
        <f t="shared" si="4"/>
        <v/>
      </c>
    </row>
    <row r="17" spans="1:7" x14ac:dyDescent="0.3">
      <c r="A17" s="3">
        <v>23</v>
      </c>
      <c r="B17" s="40">
        <v>2038</v>
      </c>
      <c r="C17" s="40"/>
      <c r="D17" s="41">
        <f t="shared" si="3"/>
        <v>27534.582497987594</v>
      </c>
      <c r="E17" s="41">
        <f t="shared" si="1"/>
        <v>32323.428079377823</v>
      </c>
      <c r="F17" s="41">
        <f t="shared" si="2"/>
        <v>38017.954163831295</v>
      </c>
      <c r="G17" s="45" t="str">
        <f t="shared" si="4"/>
        <v/>
      </c>
    </row>
    <row r="18" spans="1:7" x14ac:dyDescent="0.3">
      <c r="A18" s="3">
        <v>24</v>
      </c>
      <c r="B18" s="40">
        <v>2039</v>
      </c>
      <c r="C18" s="40"/>
      <c r="D18" s="41">
        <f t="shared" si="3"/>
        <v>30186.657447866848</v>
      </c>
      <c r="E18" s="41">
        <f t="shared" si="1"/>
        <v>35909.302325728051</v>
      </c>
      <c r="F18" s="41">
        <f t="shared" si="2"/>
        <v>42819.749580214426</v>
      </c>
      <c r="G18" s="45" t="str">
        <f t="shared" si="4"/>
        <v/>
      </c>
    </row>
    <row r="19" spans="1:7" x14ac:dyDescent="0.3">
      <c r="A19" s="3">
        <v>25</v>
      </c>
      <c r="B19" s="40">
        <v>2040</v>
      </c>
      <c r="C19" s="40"/>
      <c r="D19" s="41">
        <f t="shared" si="3"/>
        <v>32997.856894738856</v>
      </c>
      <c r="E19" s="41">
        <f t="shared" si="1"/>
        <v>39782.046511786291</v>
      </c>
      <c r="F19" s="41">
        <f t="shared" si="2"/>
        <v>48101.724538235867</v>
      </c>
      <c r="G19" s="45" t="str">
        <f t="shared" si="4"/>
        <v/>
      </c>
    </row>
    <row r="20" spans="1:7" x14ac:dyDescent="0.3">
      <c r="A20" s="3">
        <v>26</v>
      </c>
      <c r="B20" s="40">
        <v>2041</v>
      </c>
      <c r="C20" s="40"/>
      <c r="D20" s="41">
        <f t="shared" si="3"/>
        <v>35977.728308423189</v>
      </c>
      <c r="E20" s="41">
        <f t="shared" si="1"/>
        <v>43964.610232729196</v>
      </c>
      <c r="F20" s="41">
        <f t="shared" si="2"/>
        <v>53911.896992059454</v>
      </c>
      <c r="G20" s="45" t="str">
        <f t="shared" si="4"/>
        <v/>
      </c>
    </row>
    <row r="21" spans="1:7" x14ac:dyDescent="0.3">
      <c r="A21" s="3">
        <v>27</v>
      </c>
      <c r="B21" s="40">
        <v>2042</v>
      </c>
      <c r="C21" s="40"/>
      <c r="D21" s="41">
        <f t="shared" si="3"/>
        <v>39136.392006928581</v>
      </c>
      <c r="E21" s="41">
        <f t="shared" si="1"/>
        <v>48481.779051347534</v>
      </c>
      <c r="F21" s="41">
        <f t="shared" si="2"/>
        <v>60303.086691265402</v>
      </c>
      <c r="G21" s="45" t="str">
        <f t="shared" si="4"/>
        <v/>
      </c>
    </row>
    <row r="22" spans="1:7" x14ac:dyDescent="0.3">
      <c r="A22" s="3">
        <v>28</v>
      </c>
      <c r="B22" s="40">
        <v>2043</v>
      </c>
      <c r="C22" s="40"/>
      <c r="D22" s="41">
        <f t="shared" si="3"/>
        <v>42484.575527344299</v>
      </c>
      <c r="E22" s="41">
        <f t="shared" si="1"/>
        <v>53360.321375455336</v>
      </c>
      <c r="F22" s="41">
        <f t="shared" si="2"/>
        <v>67333.395360391936</v>
      </c>
      <c r="G22" s="45" t="str">
        <f t="shared" si="4"/>
        <v/>
      </c>
    </row>
    <row r="23" spans="1:7" x14ac:dyDescent="0.3">
      <c r="A23" s="3">
        <v>29</v>
      </c>
      <c r="B23" s="40">
        <v>2044</v>
      </c>
      <c r="C23" s="40"/>
      <c r="D23" s="41">
        <f t="shared" si="3"/>
        <v>46033.65005898496</v>
      </c>
      <c r="E23" s="41">
        <f t="shared" si="1"/>
        <v>58629.147085491764</v>
      </c>
      <c r="F23" s="41">
        <f t="shared" si="2"/>
        <v>75066.734896431124</v>
      </c>
      <c r="G23" s="45" t="str">
        <f t="shared" si="4"/>
        <v/>
      </c>
    </row>
    <row r="24" spans="1:7" x14ac:dyDescent="0.3">
      <c r="A24" s="3">
        <v>30</v>
      </c>
      <c r="B24" s="40">
        <v>2045</v>
      </c>
      <c r="C24" s="40"/>
      <c r="D24" s="41">
        <f t="shared" si="3"/>
        <v>49795.669062524059</v>
      </c>
      <c r="E24" s="41">
        <f t="shared" si="1"/>
        <v>64319.478852331107</v>
      </c>
      <c r="F24" s="41">
        <f t="shared" si="2"/>
        <v>83573.408386074239</v>
      </c>
      <c r="G24" s="45" t="str">
        <f t="shared" si="4"/>
        <v/>
      </c>
    </row>
    <row r="25" spans="1:7" x14ac:dyDescent="0.3">
      <c r="A25" s="3">
        <v>31</v>
      </c>
      <c r="B25" s="40">
        <v>2046</v>
      </c>
      <c r="C25" s="40"/>
      <c r="D25" s="41">
        <f t="shared" si="3"/>
        <v>53783.409206275501</v>
      </c>
      <c r="E25" s="41">
        <f t="shared" si="1"/>
        <v>70465.03716051759</v>
      </c>
      <c r="F25" s="41">
        <f t="shared" si="2"/>
        <v>92930.749224681669</v>
      </c>
      <c r="G25" s="45" t="str">
        <f t="shared" si="4"/>
        <v/>
      </c>
    </row>
    <row r="26" spans="1:7" x14ac:dyDescent="0.3">
      <c r="A26" s="3">
        <v>32</v>
      </c>
      <c r="B26" s="40">
        <v>2047</v>
      </c>
      <c r="C26" s="40"/>
      <c r="D26" s="41">
        <f t="shared" si="3"/>
        <v>58010.41375865203</v>
      </c>
      <c r="E26" s="41">
        <f t="shared" si="1"/>
        <v>77102.240133358995</v>
      </c>
      <c r="F26" s="41">
        <f t="shared" si="2"/>
        <v>103223.82414714983</v>
      </c>
      <c r="G26" s="45" t="str">
        <f t="shared" si="4"/>
        <v/>
      </c>
    </row>
    <row r="27" spans="1:7" x14ac:dyDescent="0.3">
      <c r="A27" s="3">
        <v>33</v>
      </c>
      <c r="B27" s="40">
        <v>2048</v>
      </c>
      <c r="C27" s="40"/>
      <c r="D27" s="41">
        <f t="shared" si="3"/>
        <v>62491.038584171154</v>
      </c>
      <c r="E27" s="41">
        <f t="shared" si="1"/>
        <v>84270.419344027716</v>
      </c>
      <c r="F27" s="41">
        <f t="shared" si="2"/>
        <v>114546.20656186482</v>
      </c>
      <c r="G27" s="45" t="str">
        <f t="shared" si="4"/>
        <v/>
      </c>
    </row>
    <row r="28" spans="1:7" x14ac:dyDescent="0.3">
      <c r="A28" s="3">
        <v>34</v>
      </c>
      <c r="B28" s="40">
        <v>2049</v>
      </c>
      <c r="C28" s="40"/>
      <c r="D28" s="41">
        <f t="shared" si="3"/>
        <v>67240.500899221428</v>
      </c>
      <c r="E28" s="41">
        <f t="shared" si="1"/>
        <v>92012.052891549931</v>
      </c>
      <c r="F28" s="41">
        <f t="shared" si="2"/>
        <v>127000.8272180513</v>
      </c>
      <c r="G28" s="45" t="str">
        <f t="shared" si="4"/>
        <v/>
      </c>
    </row>
    <row r="29" spans="1:7" x14ac:dyDescent="0.3">
      <c r="A29" s="3">
        <v>35</v>
      </c>
      <c r="B29" s="40">
        <v>2050</v>
      </c>
      <c r="C29" s="40"/>
      <c r="D29" s="41">
        <f t="shared" si="3"/>
        <v>72274.930953174713</v>
      </c>
      <c r="E29" s="41">
        <f t="shared" si="1"/>
        <v>100373.01712287392</v>
      </c>
      <c r="F29" s="41">
        <f t="shared" si="2"/>
        <v>140700.90993985644</v>
      </c>
      <c r="G29" s="45" t="str">
        <f t="shared" si="4"/>
        <v/>
      </c>
    </row>
    <row r="30" spans="1:7" x14ac:dyDescent="0.3">
      <c r="A30" s="3">
        <v>36</v>
      </c>
      <c r="B30" s="40">
        <v>2051</v>
      </c>
      <c r="C30" s="40"/>
      <c r="D30" s="41">
        <f t="shared" si="3"/>
        <v>77611.426810365199</v>
      </c>
      <c r="E30" s="41">
        <f t="shared" si="1"/>
        <v>109402.85849270383</v>
      </c>
      <c r="F30" s="41">
        <f t="shared" si="2"/>
        <v>155771.00093384209</v>
      </c>
      <c r="G30" s="45" t="str">
        <f t="shared" si="4"/>
        <v/>
      </c>
    </row>
    <row r="31" spans="1:7" x14ac:dyDescent="0.3">
      <c r="A31" s="3">
        <v>37</v>
      </c>
      <c r="B31" s="40">
        <v>2052</v>
      </c>
      <c r="C31" s="40"/>
      <c r="D31" s="41">
        <f t="shared" si="3"/>
        <v>83268.112418987104</v>
      </c>
      <c r="E31" s="41">
        <f t="shared" si="1"/>
        <v>119155.08717212014</v>
      </c>
      <c r="F31" s="41">
        <f t="shared" si="2"/>
        <v>172348.10102722631</v>
      </c>
      <c r="G31" s="45" t="str">
        <f t="shared" si="4"/>
        <v/>
      </c>
    </row>
    <row r="32" spans="1:7" x14ac:dyDescent="0.3">
      <c r="A32" s="3">
        <v>38</v>
      </c>
      <c r="B32" s="40">
        <v>2053</v>
      </c>
      <c r="C32" s="40"/>
      <c r="D32" s="41">
        <f t="shared" si="3"/>
        <v>89264.19916412633</v>
      </c>
      <c r="E32" s="41">
        <f t="shared" si="1"/>
        <v>129687.49414588975</v>
      </c>
      <c r="F32" s="41">
        <f t="shared" si="2"/>
        <v>190582.91112994895</v>
      </c>
      <c r="G32" s="45" t="str">
        <f t="shared" si="4"/>
        <v/>
      </c>
    </row>
    <row r="33" spans="1:7" x14ac:dyDescent="0.3">
      <c r="A33" s="3">
        <v>39</v>
      </c>
      <c r="B33" s="40">
        <v>2054</v>
      </c>
      <c r="C33" s="40"/>
      <c r="D33" s="41">
        <f t="shared" si="3"/>
        <v>95620.05111397391</v>
      </c>
      <c r="E33" s="41">
        <f t="shared" si="1"/>
        <v>141062.49367756094</v>
      </c>
      <c r="F33" s="41">
        <f t="shared" si="2"/>
        <v>210641.20224294384</v>
      </c>
      <c r="G33" s="45" t="str">
        <f t="shared" si="4"/>
        <v/>
      </c>
    </row>
    <row r="34" spans="1:7" x14ac:dyDescent="0.3">
      <c r="A34" s="3">
        <v>40</v>
      </c>
      <c r="B34" s="40">
        <v>2055</v>
      </c>
      <c r="C34" s="40"/>
      <c r="D34" s="41">
        <f t="shared" si="3"/>
        <v>102357.25418081235</v>
      </c>
      <c r="E34" s="41">
        <f t="shared" si="1"/>
        <v>153347.49317176582</v>
      </c>
      <c r="F34" s="41">
        <f t="shared" si="2"/>
        <v>232705.32246723823</v>
      </c>
      <c r="G34" s="45" t="str">
        <f t="shared" si="4"/>
        <v/>
      </c>
    </row>
    <row r="35" spans="1:7" x14ac:dyDescent="0.3">
      <c r="A35" s="3">
        <v>41</v>
      </c>
      <c r="B35" s="40">
        <v>2056</v>
      </c>
      <c r="C35" s="40"/>
      <c r="D35" s="41">
        <f t="shared" si="3"/>
        <v>109498.68943166109</v>
      </c>
      <c r="E35" s="41">
        <f t="shared" si="1"/>
        <v>166615.29262550708</v>
      </c>
      <c r="F35" s="41">
        <f t="shared" si="2"/>
        <v>256975.85471396206</v>
      </c>
      <c r="G35" s="45" t="str">
        <f t="shared" si="4"/>
        <v/>
      </c>
    </row>
    <row r="36" spans="1:7" x14ac:dyDescent="0.3">
      <c r="A36" s="3">
        <v>42</v>
      </c>
      <c r="B36" s="40">
        <v>2057</v>
      </c>
      <c r="C36" s="40"/>
      <c r="D36" s="41">
        <f t="shared" si="3"/>
        <v>117068.61079756074</v>
      </c>
      <c r="E36" s="41">
        <f t="shared" si="1"/>
        <v>180944.51603554765</v>
      </c>
      <c r="F36" s="41">
        <f t="shared" si="2"/>
        <v>283673.44018535828</v>
      </c>
      <c r="G36" s="45" t="str">
        <f t="shared" si="4"/>
        <v/>
      </c>
    </row>
    <row r="37" spans="1:7" x14ac:dyDescent="0.3">
      <c r="A37" s="3">
        <v>43</v>
      </c>
      <c r="B37" s="40">
        <v>2058</v>
      </c>
      <c r="C37" s="40"/>
      <c r="D37" s="41">
        <f t="shared" si="3"/>
        <v>125092.72744541439</v>
      </c>
      <c r="E37" s="41">
        <f t="shared" si="1"/>
        <v>196420.07731839147</v>
      </c>
      <c r="F37" s="41">
        <f t="shared" si="2"/>
        <v>313040.78420389409</v>
      </c>
      <c r="G37" s="45" t="str">
        <f t="shared" si="4"/>
        <v/>
      </c>
    </row>
    <row r="38" spans="1:7" x14ac:dyDescent="0.3">
      <c r="A38" s="3">
        <v>44</v>
      </c>
      <c r="B38" s="40">
        <v>2059</v>
      </c>
      <c r="C38" s="40"/>
      <c r="D38" s="41">
        <f t="shared" si="3"/>
        <v>133598.29109213926</v>
      </c>
      <c r="E38" s="41">
        <f t="shared" si="1"/>
        <v>213133.68350386279</v>
      </c>
      <c r="F38" s="41">
        <f t="shared" si="2"/>
        <v>345344.86262428347</v>
      </c>
      <c r="G38" s="45" t="str">
        <f t="shared" si="4"/>
        <v/>
      </c>
    </row>
    <row r="39" spans="1:7" x14ac:dyDescent="0.3">
      <c r="A39" s="3">
        <v>45</v>
      </c>
      <c r="B39" s="40">
        <v>2060</v>
      </c>
      <c r="C39" s="40"/>
      <c r="D39" s="41">
        <f t="shared" si="3"/>
        <v>142614.18855766763</v>
      </c>
      <c r="E39" s="41">
        <f t="shared" si="1"/>
        <v>231184.3781841718</v>
      </c>
      <c r="F39" s="41">
        <f t="shared" si="2"/>
        <v>380879.34888671181</v>
      </c>
      <c r="G39" s="45" t="str">
        <f t="shared" si="4"/>
        <v/>
      </c>
    </row>
    <row r="40" spans="1:7" x14ac:dyDescent="0.3">
      <c r="A40" s="3">
        <v>46</v>
      </c>
      <c r="B40" s="40">
        <v>2061</v>
      </c>
      <c r="C40" s="40"/>
      <c r="D40" s="41">
        <f t="shared" si="3"/>
        <v>152171.03987112769</v>
      </c>
      <c r="E40" s="41">
        <f t="shared" si="1"/>
        <v>250679.12843890555</v>
      </c>
      <c r="F40" s="41">
        <f t="shared" si="2"/>
        <v>419967.28377538302</v>
      </c>
      <c r="G40" s="45" t="str">
        <f t="shared" si="4"/>
        <v/>
      </c>
    </row>
    <row r="41" spans="1:7" x14ac:dyDescent="0.3">
      <c r="A41" s="3">
        <v>47</v>
      </c>
      <c r="B41" s="40">
        <v>2062</v>
      </c>
      <c r="C41" s="40"/>
      <c r="D41" s="41">
        <f t="shared" si="3"/>
        <v>162301.30226339537</v>
      </c>
      <c r="E41" s="41">
        <f t="shared" si="1"/>
        <v>271733.45871401799</v>
      </c>
      <c r="F41" s="41">
        <f t="shared" si="2"/>
        <v>462964.01215292135</v>
      </c>
      <c r="G41" s="45" t="str">
        <f t="shared" si="4"/>
        <v/>
      </c>
    </row>
    <row r="42" spans="1:7" x14ac:dyDescent="0.3">
      <c r="A42" s="3">
        <v>48</v>
      </c>
      <c r="B42" s="40">
        <v>2063</v>
      </c>
      <c r="C42" s="40"/>
      <c r="D42" s="41">
        <f t="shared" si="3"/>
        <v>173039.38039919909</v>
      </c>
      <c r="E42" s="41">
        <f t="shared" si="1"/>
        <v>294472.13541113946</v>
      </c>
      <c r="F42" s="41">
        <f t="shared" si="2"/>
        <v>510260.41336821346</v>
      </c>
      <c r="G42" s="45" t="str">
        <f t="shared" si="4"/>
        <v/>
      </c>
    </row>
  </sheetData>
  <mergeCells count="3">
    <mergeCell ref="C2:C3"/>
    <mergeCell ref="D1:F1"/>
    <mergeCell ref="G2:G3"/>
  </mergeCells>
  <phoneticPr fontId="2" type="noConversion"/>
  <conditionalFormatting sqref="C4:F4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{7A3CB921-91EA-45F2-95AF-212D02B28D74}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3CB921-91EA-45F2-95AF-212D02B28D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C4:F42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"/>
  <sheetViews>
    <sheetView workbookViewId="0">
      <selection activeCell="J4" sqref="B1:K4"/>
    </sheetView>
  </sheetViews>
  <sheetFormatPr defaultRowHeight="16.5" x14ac:dyDescent="0.3"/>
  <cols>
    <col min="1" max="1" width="3.875" customWidth="1"/>
    <col min="3" max="3" width="5.25" bestFit="1" customWidth="1"/>
    <col min="4" max="4" width="5.5" bestFit="1" customWidth="1"/>
    <col min="5" max="5" width="5.25" bestFit="1" customWidth="1"/>
    <col min="6" max="6" width="5.375" bestFit="1" customWidth="1"/>
    <col min="7" max="7" width="5.25" bestFit="1" customWidth="1"/>
    <col min="8" max="8" width="5.5" bestFit="1" customWidth="1"/>
    <col min="9" max="9" width="5.25" bestFit="1" customWidth="1"/>
    <col min="10" max="10" width="24.75" bestFit="1" customWidth="1"/>
    <col min="11" max="11" width="22.875" bestFit="1" customWidth="1"/>
  </cols>
  <sheetData>
    <row r="1" spans="2:11" ht="49.5" x14ac:dyDescent="0.3">
      <c r="B1" s="32"/>
      <c r="C1" s="32" t="s">
        <v>91</v>
      </c>
      <c r="D1" s="33" t="s">
        <v>99</v>
      </c>
      <c r="E1" s="33" t="s">
        <v>93</v>
      </c>
      <c r="F1" s="32" t="s">
        <v>83</v>
      </c>
      <c r="G1" s="33" t="s">
        <v>96</v>
      </c>
      <c r="H1" s="33" t="s">
        <v>97</v>
      </c>
      <c r="I1" s="33" t="s">
        <v>98</v>
      </c>
      <c r="J1" s="32" t="s">
        <v>86</v>
      </c>
      <c r="K1" s="32" t="s">
        <v>87</v>
      </c>
    </row>
    <row r="2" spans="2:11" x14ac:dyDescent="0.3">
      <c r="B2" s="32" t="s">
        <v>79</v>
      </c>
      <c r="C2" s="32">
        <v>600</v>
      </c>
      <c r="D2" s="46">
        <v>1800</v>
      </c>
      <c r="E2" s="46" t="s">
        <v>92</v>
      </c>
      <c r="F2" s="46" t="s">
        <v>94</v>
      </c>
      <c r="G2" s="32" t="s">
        <v>84</v>
      </c>
      <c r="H2" s="32">
        <v>1500</v>
      </c>
      <c r="I2" s="32">
        <f>H2/12</f>
        <v>125</v>
      </c>
      <c r="J2" s="32" t="s">
        <v>85</v>
      </c>
      <c r="K2" s="32" t="s">
        <v>88</v>
      </c>
    </row>
    <row r="3" spans="2:11" x14ac:dyDescent="0.3">
      <c r="B3" s="32" t="s">
        <v>80</v>
      </c>
      <c r="C3" s="32">
        <v>300</v>
      </c>
      <c r="D3" s="46"/>
      <c r="E3" s="46"/>
      <c r="F3" s="46"/>
      <c r="G3" s="34">
        <v>0.3</v>
      </c>
      <c r="H3" s="32">
        <v>300</v>
      </c>
      <c r="I3" s="32">
        <f>H3/12</f>
        <v>25</v>
      </c>
      <c r="J3" s="46" t="s">
        <v>89</v>
      </c>
      <c r="K3" s="46"/>
    </row>
    <row r="4" spans="2:11" ht="55.5" customHeight="1" x14ac:dyDescent="0.3">
      <c r="B4" s="32" t="s">
        <v>81</v>
      </c>
      <c r="C4" s="32" t="s">
        <v>82</v>
      </c>
      <c r="D4" s="32">
        <v>2000</v>
      </c>
      <c r="E4" s="32">
        <v>200</v>
      </c>
      <c r="F4" s="32" t="s">
        <v>95</v>
      </c>
      <c r="G4" s="32" t="s">
        <v>84</v>
      </c>
      <c r="H4" s="32">
        <v>2000</v>
      </c>
      <c r="I4" s="32">
        <f>_xlfn.FLOOR.MATH(H4/12)</f>
        <v>166</v>
      </c>
      <c r="J4" s="52" t="s">
        <v>90</v>
      </c>
      <c r="K4" s="46"/>
    </row>
  </sheetData>
  <mergeCells count="5">
    <mergeCell ref="J4:K4"/>
    <mergeCell ref="J3:K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4"/>
  <sheetViews>
    <sheetView workbookViewId="0">
      <selection activeCell="J38" sqref="J38"/>
    </sheetView>
  </sheetViews>
  <sheetFormatPr defaultRowHeight="16.5" x14ac:dyDescent="0.3"/>
  <cols>
    <col min="3" max="3" width="13" bestFit="1" customWidth="1"/>
    <col min="4" max="4" width="13.75" bestFit="1" customWidth="1"/>
  </cols>
  <sheetData>
    <row r="1" spans="2:8" x14ac:dyDescent="0.3">
      <c r="B1" s="8" t="s">
        <v>1</v>
      </c>
      <c r="C1" s="8" t="s">
        <v>2</v>
      </c>
      <c r="D1" s="8" t="s">
        <v>3</v>
      </c>
      <c r="E1" s="13" t="s">
        <v>14</v>
      </c>
      <c r="F1" s="13" t="s">
        <v>15</v>
      </c>
      <c r="G1" s="13" t="s">
        <v>16</v>
      </c>
      <c r="H1" s="8" t="s">
        <v>5</v>
      </c>
    </row>
    <row r="2" spans="2:8" x14ac:dyDescent="0.3">
      <c r="B2" s="3">
        <v>2009</v>
      </c>
      <c r="C2" s="6">
        <v>33600000</v>
      </c>
      <c r="D2" s="4">
        <v>0</v>
      </c>
      <c r="E2" s="10"/>
      <c r="F2" s="10"/>
      <c r="G2" s="10"/>
      <c r="H2" s="3"/>
    </row>
    <row r="3" spans="2:8" x14ac:dyDescent="0.3">
      <c r="B3" s="3">
        <v>2010</v>
      </c>
      <c r="C3" s="6">
        <v>36360000</v>
      </c>
      <c r="D3" s="7">
        <f t="shared" ref="D3:D14" si="0">C3/C2-1</f>
        <v>8.2142857142857073E-2</v>
      </c>
      <c r="E3" s="10"/>
      <c r="F3" s="10"/>
      <c r="G3" s="10"/>
      <c r="H3" s="3"/>
    </row>
    <row r="4" spans="2:8" x14ac:dyDescent="0.3">
      <c r="B4" s="3">
        <v>2011</v>
      </c>
      <c r="C4" s="6">
        <v>45300000</v>
      </c>
      <c r="D4" s="7">
        <f t="shared" si="0"/>
        <v>0.2458745874587458</v>
      </c>
      <c r="E4" s="10"/>
      <c r="F4" s="10"/>
      <c r="G4" s="10"/>
      <c r="H4" s="3" t="s">
        <v>4</v>
      </c>
    </row>
    <row r="5" spans="2:8" x14ac:dyDescent="0.3">
      <c r="B5" s="3">
        <v>2012</v>
      </c>
      <c r="C5" s="6">
        <v>49060000</v>
      </c>
      <c r="D5" s="7">
        <f t="shared" si="0"/>
        <v>8.3002207505518788E-2</v>
      </c>
      <c r="E5" s="10"/>
      <c r="F5" s="10"/>
      <c r="G5" s="10"/>
      <c r="H5" s="3"/>
    </row>
    <row r="6" spans="2:8" x14ac:dyDescent="0.3">
      <c r="B6" s="3">
        <v>2013</v>
      </c>
      <c r="C6" s="6">
        <v>53466000</v>
      </c>
      <c r="D6" s="7">
        <f t="shared" si="0"/>
        <v>8.9808397880146718E-2</v>
      </c>
      <c r="E6" s="10"/>
      <c r="F6" s="10"/>
      <c r="G6" s="10"/>
      <c r="H6" s="3"/>
    </row>
    <row r="7" spans="2:8" x14ac:dyDescent="0.3">
      <c r="B7" s="3">
        <v>2014</v>
      </c>
      <c r="C7" s="6">
        <v>59430000</v>
      </c>
      <c r="D7" s="7">
        <f t="shared" si="0"/>
        <v>0.11154752553024361</v>
      </c>
      <c r="E7" s="10"/>
      <c r="F7" s="10"/>
      <c r="G7" s="10"/>
      <c r="H7" s="3"/>
    </row>
    <row r="8" spans="2:8" x14ac:dyDescent="0.3">
      <c r="B8" s="3">
        <v>2015</v>
      </c>
      <c r="C8" s="6">
        <v>71830000</v>
      </c>
      <c r="D8" s="7">
        <f t="shared" si="0"/>
        <v>0.20864883055695782</v>
      </c>
      <c r="E8" s="10"/>
      <c r="F8" s="10"/>
      <c r="G8" s="10"/>
      <c r="H8" s="3" t="s">
        <v>8</v>
      </c>
    </row>
    <row r="9" spans="2:8" x14ac:dyDescent="0.3">
      <c r="B9" s="3">
        <v>2016</v>
      </c>
      <c r="C9" s="6">
        <v>71379000</v>
      </c>
      <c r="D9" s="7">
        <f t="shared" si="0"/>
        <v>-6.278713629402799E-3</v>
      </c>
      <c r="E9" s="10">
        <v>15897</v>
      </c>
      <c r="F9" s="10">
        <v>3181</v>
      </c>
      <c r="G9" s="14">
        <f>F9/E9</f>
        <v>0.20010064792099139</v>
      </c>
      <c r="H9" s="3"/>
    </row>
    <row r="10" spans="2:8" x14ac:dyDescent="0.3">
      <c r="B10" s="11">
        <v>2021</v>
      </c>
      <c r="C10" s="12">
        <v>90306000</v>
      </c>
      <c r="D10" s="7">
        <f t="shared" si="0"/>
        <v>0.26516202244357578</v>
      </c>
      <c r="E10" s="10">
        <v>18373</v>
      </c>
      <c r="F10" s="10">
        <v>4137</v>
      </c>
      <c r="G10" s="14">
        <f>F10/E10</f>
        <v>0.22516736515539107</v>
      </c>
      <c r="H10" s="10"/>
    </row>
    <row r="11" spans="2:8" x14ac:dyDescent="0.3">
      <c r="B11" s="11">
        <v>2022</v>
      </c>
      <c r="C11" s="12">
        <v>98000000</v>
      </c>
      <c r="D11" s="7">
        <f t="shared" si="0"/>
        <v>8.5199211569552347E-2</v>
      </c>
      <c r="E11" s="10"/>
      <c r="F11" s="10"/>
      <c r="G11" s="10"/>
      <c r="H11" s="10"/>
    </row>
    <row r="12" spans="2:8" x14ac:dyDescent="0.3">
      <c r="B12" s="11">
        <v>2023</v>
      </c>
      <c r="C12" s="12">
        <v>106440000</v>
      </c>
      <c r="D12" s="7">
        <f t="shared" si="0"/>
        <v>8.6122448979591759E-2</v>
      </c>
      <c r="E12" s="10"/>
      <c r="F12" s="10"/>
      <c r="G12" s="10"/>
      <c r="H12" s="10" t="s">
        <v>22</v>
      </c>
    </row>
    <row r="13" spans="2:8" x14ac:dyDescent="0.3">
      <c r="B13" s="11">
        <v>2024</v>
      </c>
      <c r="C13" s="12">
        <v>109668000</v>
      </c>
      <c r="D13" s="7">
        <f t="shared" si="0"/>
        <v>3.0326944757609997E-2</v>
      </c>
      <c r="E13" s="10"/>
      <c r="F13" s="10"/>
      <c r="G13" s="10"/>
      <c r="H13" s="10"/>
    </row>
    <row r="14" spans="2:8" x14ac:dyDescent="0.3">
      <c r="B14" s="42">
        <v>2025</v>
      </c>
      <c r="C14" s="43">
        <v>112980000</v>
      </c>
      <c r="D14" s="7">
        <f t="shared" si="0"/>
        <v>3.0200240726556471E-2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3"/>
  <sheetViews>
    <sheetView workbookViewId="0">
      <selection activeCell="C20" sqref="C20"/>
    </sheetView>
  </sheetViews>
  <sheetFormatPr defaultRowHeight="16.5" x14ac:dyDescent="0.3"/>
  <cols>
    <col min="2" max="2" width="19.25" bestFit="1" customWidth="1"/>
    <col min="3" max="4" width="9.25" customWidth="1"/>
    <col min="6" max="6" width="16.375" customWidth="1"/>
    <col min="7" max="7" width="6.5" bestFit="1" customWidth="1"/>
    <col min="8" max="8" width="7.125" bestFit="1" customWidth="1"/>
    <col min="9" max="9" width="7.25" bestFit="1" customWidth="1"/>
    <col min="10" max="10" width="6.5" bestFit="1" customWidth="1"/>
    <col min="11" max="12" width="5.5" bestFit="1" customWidth="1"/>
    <col min="13" max="13" width="9.125" customWidth="1"/>
    <col min="14" max="14" width="5.25" bestFit="1" customWidth="1"/>
    <col min="15" max="15" width="9" bestFit="1" customWidth="1"/>
    <col min="16" max="17" width="9.125" customWidth="1"/>
    <col min="19" max="19" width="10.375" customWidth="1"/>
    <col min="27" max="27" width="8.5" bestFit="1" customWidth="1"/>
  </cols>
  <sheetData>
    <row r="1" spans="1:29" x14ac:dyDescent="0.3">
      <c r="B1" s="24"/>
      <c r="E1" s="55" t="s">
        <v>75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7"/>
    </row>
    <row r="2" spans="1:29" x14ac:dyDescent="0.3">
      <c r="B2" s="23" t="s">
        <v>29</v>
      </c>
      <c r="C2" s="26">
        <v>0.03</v>
      </c>
      <c r="D2" s="23"/>
      <c r="E2" s="28"/>
      <c r="F2" s="28"/>
      <c r="G2" s="28"/>
      <c r="H2" s="28"/>
      <c r="I2" s="28"/>
      <c r="J2" s="28"/>
      <c r="K2" s="54" t="s">
        <v>58</v>
      </c>
      <c r="L2" s="54"/>
      <c r="M2" s="54"/>
      <c r="N2" s="54"/>
      <c r="O2" s="54"/>
      <c r="P2" s="54"/>
      <c r="Q2" s="54"/>
      <c r="R2" s="54"/>
      <c r="S2" s="28"/>
      <c r="T2" s="28"/>
      <c r="U2" s="28"/>
      <c r="V2" s="28"/>
      <c r="W2" s="28"/>
      <c r="X2" s="28"/>
      <c r="Y2" s="28"/>
      <c r="Z2" s="28"/>
      <c r="AA2" s="28"/>
    </row>
    <row r="3" spans="1:29" ht="33" x14ac:dyDescent="0.3">
      <c r="B3" t="s">
        <v>31</v>
      </c>
      <c r="C3" s="26">
        <v>0.03</v>
      </c>
      <c r="E3" s="28"/>
      <c r="F3" s="28" t="s">
        <v>67</v>
      </c>
      <c r="G3" s="29" t="s">
        <v>74</v>
      </c>
      <c r="H3" s="29" t="s">
        <v>73</v>
      </c>
      <c r="I3" s="28" t="s">
        <v>47</v>
      </c>
      <c r="J3" s="28" t="s">
        <v>65</v>
      </c>
      <c r="K3" s="29" t="s">
        <v>66</v>
      </c>
      <c r="L3" s="28" t="s">
        <v>59</v>
      </c>
      <c r="M3" s="28" t="s">
        <v>60</v>
      </c>
      <c r="N3" s="28" t="s">
        <v>57</v>
      </c>
      <c r="O3" s="28" t="s">
        <v>64</v>
      </c>
      <c r="P3" s="28" t="s">
        <v>72</v>
      </c>
      <c r="Q3" s="28" t="s">
        <v>61</v>
      </c>
      <c r="R3" s="28" t="s">
        <v>62</v>
      </c>
      <c r="S3" s="28" t="s">
        <v>27</v>
      </c>
      <c r="T3" s="28" t="s">
        <v>28</v>
      </c>
      <c r="U3" s="28" t="s">
        <v>30</v>
      </c>
      <c r="V3" s="28" t="s">
        <v>34</v>
      </c>
      <c r="W3" s="28" t="s">
        <v>35</v>
      </c>
      <c r="X3" s="28" t="s">
        <v>36</v>
      </c>
      <c r="Y3" s="28" t="s">
        <v>37</v>
      </c>
      <c r="Z3" s="28" t="s">
        <v>38</v>
      </c>
      <c r="AA3" s="28" t="s">
        <v>53</v>
      </c>
      <c r="AB3" s="28" t="s">
        <v>68</v>
      </c>
      <c r="AC3" s="28" t="s">
        <v>70</v>
      </c>
    </row>
    <row r="4" spans="1:29" x14ac:dyDescent="0.3">
      <c r="B4" t="s">
        <v>55</v>
      </c>
      <c r="C4" s="26">
        <v>0.154</v>
      </c>
      <c r="E4" s="28">
        <v>2025</v>
      </c>
      <c r="F4" s="28"/>
      <c r="G4" s="30">
        <v>12000</v>
      </c>
      <c r="H4" s="30">
        <v>0</v>
      </c>
      <c r="I4" s="30">
        <v>5000</v>
      </c>
      <c r="J4" s="30">
        <f>G4+H4-I4</f>
        <v>7000</v>
      </c>
      <c r="K4" s="28">
        <v>360</v>
      </c>
      <c r="L4" s="28">
        <v>1200</v>
      </c>
      <c r="M4" s="28">
        <v>2000</v>
      </c>
      <c r="N4" s="28">
        <v>1000</v>
      </c>
      <c r="O4" s="28">
        <v>200</v>
      </c>
      <c r="P4" s="28"/>
      <c r="Q4" s="30">
        <f>J4-K4-L4-M4-N4-O4-P4</f>
        <v>2240</v>
      </c>
      <c r="R4" s="30">
        <v>720</v>
      </c>
      <c r="S4" s="28">
        <v>60000</v>
      </c>
      <c r="T4" s="28"/>
      <c r="U4" s="30">
        <v>41000</v>
      </c>
      <c r="V4" s="30">
        <v>5100</v>
      </c>
      <c r="W4" s="30">
        <v>3400</v>
      </c>
      <c r="X4" s="28">
        <v>0</v>
      </c>
      <c r="Y4" s="30">
        <v>0</v>
      </c>
      <c r="Z4" s="30">
        <v>3500</v>
      </c>
      <c r="AA4" s="30">
        <v>230</v>
      </c>
      <c r="AB4" s="27">
        <f>SUM(S4:AA4)</f>
        <v>113230</v>
      </c>
    </row>
    <row r="5" spans="1:29" x14ac:dyDescent="0.3">
      <c r="B5" t="s">
        <v>54</v>
      </c>
      <c r="C5" s="26">
        <f>C3+0.01</f>
        <v>0.04</v>
      </c>
      <c r="E5" s="28">
        <v>2026</v>
      </c>
      <c r="F5" s="28"/>
      <c r="G5" s="30">
        <f>G4*(1+$C$8)</f>
        <v>12240</v>
      </c>
      <c r="H5" s="30">
        <v>0</v>
      </c>
      <c r="I5" s="30">
        <f>I4*(1+$C$9)</f>
        <v>5150</v>
      </c>
      <c r="J5" s="30">
        <f t="shared" ref="J5:J44" si="0">G5+H5-I5</f>
        <v>7090</v>
      </c>
      <c r="K5" s="28">
        <v>360</v>
      </c>
      <c r="L5" s="28">
        <v>1200</v>
      </c>
      <c r="M5" s="28">
        <v>2000</v>
      </c>
      <c r="N5" s="28">
        <v>1000</v>
      </c>
      <c r="O5" s="28">
        <v>200</v>
      </c>
      <c r="P5" s="30">
        <f>S5-S4</f>
        <v>0</v>
      </c>
      <c r="Q5" s="30">
        <f t="shared" ref="Q5:Q44" si="1">J5-K5-L5-M5-N5-O5-P5</f>
        <v>2330</v>
      </c>
      <c r="R5" s="30">
        <f>R4*($C$8+1)</f>
        <v>734.4</v>
      </c>
      <c r="S5" s="30">
        <v>60000</v>
      </c>
      <c r="T5" s="28"/>
      <c r="U5" s="30">
        <f>IF(U4&gt;0,U4*(1+$C$13),U4)+Q4</f>
        <v>44280.58</v>
      </c>
      <c r="V5" s="30">
        <f>V4*$C$12+V4+K4</f>
        <v>5587.5</v>
      </c>
      <c r="W5" s="30">
        <f>W4+W4*$C$17+R4</f>
        <v>4307</v>
      </c>
      <c r="X5" s="30">
        <f>X4+X4*$C$17+L4</f>
        <v>1200</v>
      </c>
      <c r="Y5" s="30">
        <f>Y4+Y4*$C$17+M4</f>
        <v>2000</v>
      </c>
      <c r="Z5" s="30">
        <f>Z4+Z4*$C$21+N4</f>
        <v>4681.72</v>
      </c>
      <c r="AA5" s="30">
        <f>AA4+AA4*$C$23+O4</f>
        <v>441.5</v>
      </c>
      <c r="AB5" s="27">
        <f t="shared" ref="AB5:AB44" si="2">SUM(S5:AA5)</f>
        <v>122498.3</v>
      </c>
      <c r="AC5" s="27">
        <f>AB5-AB4</f>
        <v>9268.3000000000029</v>
      </c>
    </row>
    <row r="6" spans="1:29" x14ac:dyDescent="0.3">
      <c r="B6" t="s">
        <v>33</v>
      </c>
      <c r="C6" s="26">
        <v>7.0000000000000007E-2</v>
      </c>
      <c r="E6" s="28">
        <v>2027</v>
      </c>
      <c r="F6" s="28"/>
      <c r="G6" s="30">
        <f t="shared" ref="G6:G20" si="3">G5*(1+$C$8)</f>
        <v>12484.800000000001</v>
      </c>
      <c r="H6" s="30">
        <v>0</v>
      </c>
      <c r="I6" s="30">
        <f t="shared" ref="I6:I44" si="4">I5*(1+$C$9)</f>
        <v>5304.5</v>
      </c>
      <c r="J6" s="30">
        <f t="shared" si="0"/>
        <v>7180.3000000000011</v>
      </c>
      <c r="K6" s="28">
        <v>360</v>
      </c>
      <c r="L6" s="28">
        <v>1200</v>
      </c>
      <c r="M6" s="28">
        <v>2000</v>
      </c>
      <c r="N6" s="28">
        <v>1000</v>
      </c>
      <c r="O6" s="28">
        <v>200</v>
      </c>
      <c r="P6" s="30">
        <f t="shared" ref="P6:P44" si="5">S6-S5</f>
        <v>3000</v>
      </c>
      <c r="Q6" s="30">
        <f t="shared" si="1"/>
        <v>-579.69999999999891</v>
      </c>
      <c r="R6" s="30">
        <f t="shared" ref="R6:R20" si="6">R5*($C$8+1)</f>
        <v>749.08799999999997</v>
      </c>
      <c r="S6" s="30">
        <f>S4*($C$10+1)</f>
        <v>63000</v>
      </c>
      <c r="T6" s="28"/>
      <c r="U6" s="30">
        <f t="shared" ref="U6:U44" si="7">IF(U5&gt;0,U5*(1+$C$13),U5)+Q5</f>
        <v>47734.421120400002</v>
      </c>
      <c r="V6" s="30">
        <f t="shared" ref="V6:V44" si="8">V5*$C$12+V5+K5</f>
        <v>6087.1875</v>
      </c>
      <c r="W6" s="30">
        <f t="shared" ref="W6:W44" si="9">W5+W5*$C$17+R5</f>
        <v>5278.2849999999999</v>
      </c>
      <c r="X6" s="30">
        <f t="shared" ref="X6:Y21" si="10">X5+X5*$C$17+L5</f>
        <v>2466</v>
      </c>
      <c r="Y6" s="30">
        <f t="shared" si="10"/>
        <v>4110</v>
      </c>
      <c r="Z6" s="30">
        <f t="shared" ref="Z6:Z44" si="11">Z5+Z5*$C$21+N5</f>
        <v>5924.7949024</v>
      </c>
      <c r="AA6" s="30">
        <f t="shared" ref="AA6:AA44" si="12">AA5+AA5*$C$23+O5</f>
        <v>663.57500000000005</v>
      </c>
      <c r="AB6" s="27">
        <f t="shared" si="2"/>
        <v>135264.26352280003</v>
      </c>
      <c r="AC6" s="27">
        <f t="shared" ref="AC6:AC44" si="13">AB6-AB5</f>
        <v>12765.963522800026</v>
      </c>
    </row>
    <row r="7" spans="1:29" x14ac:dyDescent="0.3">
      <c r="B7" t="s">
        <v>32</v>
      </c>
      <c r="C7" s="26">
        <f>C2</f>
        <v>0.03</v>
      </c>
      <c r="E7" s="28">
        <v>2028</v>
      </c>
      <c r="F7" s="28" t="s">
        <v>46</v>
      </c>
      <c r="G7" s="30">
        <f t="shared" si="3"/>
        <v>12734.496000000001</v>
      </c>
      <c r="H7" s="30">
        <v>0</v>
      </c>
      <c r="I7" s="30">
        <f t="shared" si="4"/>
        <v>5463.6350000000002</v>
      </c>
      <c r="J7" s="30">
        <f t="shared" si="0"/>
        <v>7270.8610000000008</v>
      </c>
      <c r="K7" s="28">
        <v>360</v>
      </c>
      <c r="L7" s="28">
        <v>1200</v>
      </c>
      <c r="M7" s="28">
        <v>2000</v>
      </c>
      <c r="N7" s="28">
        <v>1000</v>
      </c>
      <c r="O7" s="28">
        <v>200</v>
      </c>
      <c r="P7" s="30">
        <f t="shared" si="5"/>
        <v>0</v>
      </c>
      <c r="Q7" s="30">
        <f t="shared" si="1"/>
        <v>2510.8610000000008</v>
      </c>
      <c r="R7" s="30">
        <f t="shared" si="6"/>
        <v>764.06975999999997</v>
      </c>
      <c r="S7" s="30">
        <f>S5*($C$10+1)</f>
        <v>63000</v>
      </c>
      <c r="T7" s="28"/>
      <c r="U7" s="30">
        <f t="shared" si="7"/>
        <v>48366.220728435757</v>
      </c>
      <c r="V7" s="30">
        <f t="shared" si="8"/>
        <v>6599.3671875</v>
      </c>
      <c r="W7" s="30">
        <f t="shared" si="9"/>
        <v>6317.6786749999992</v>
      </c>
      <c r="X7" s="30">
        <f t="shared" si="10"/>
        <v>3801.63</v>
      </c>
      <c r="Y7" s="30">
        <f t="shared" si="10"/>
        <v>6336.05</v>
      </c>
      <c r="Z7" s="30">
        <f t="shared" si="11"/>
        <v>7232.410253732608</v>
      </c>
      <c r="AA7" s="30">
        <f t="shared" si="12"/>
        <v>896.75375000000008</v>
      </c>
      <c r="AB7" s="27">
        <f t="shared" si="2"/>
        <v>142550.11059466837</v>
      </c>
      <c r="AC7" s="27">
        <f t="shared" si="13"/>
        <v>7285.8470718683384</v>
      </c>
    </row>
    <row r="8" spans="1:29" x14ac:dyDescent="0.3">
      <c r="B8" t="s">
        <v>48</v>
      </c>
      <c r="C8" s="26">
        <v>0.02</v>
      </c>
      <c r="E8" s="28">
        <v>2029</v>
      </c>
      <c r="F8" s="28"/>
      <c r="G8" s="30">
        <f t="shared" si="3"/>
        <v>12989.185920000002</v>
      </c>
      <c r="H8" s="30">
        <v>0</v>
      </c>
      <c r="I8" s="30">
        <f t="shared" si="4"/>
        <v>5627.5440500000004</v>
      </c>
      <c r="J8" s="30">
        <f t="shared" si="0"/>
        <v>7361.6418700000013</v>
      </c>
      <c r="K8" s="28"/>
      <c r="L8" s="28">
        <v>1200</v>
      </c>
      <c r="M8" s="28">
        <v>2000</v>
      </c>
      <c r="N8" s="28">
        <v>1000</v>
      </c>
      <c r="O8" s="28">
        <v>200</v>
      </c>
      <c r="P8" s="30">
        <f t="shared" si="5"/>
        <v>3150</v>
      </c>
      <c r="Q8" s="30">
        <f t="shared" si="1"/>
        <v>-188.35812999999871</v>
      </c>
      <c r="R8" s="30">
        <f t="shared" si="6"/>
        <v>779.35115519999999</v>
      </c>
      <c r="S8" s="30">
        <f t="shared" ref="S8:S44" si="14">S6*($C$10+1)</f>
        <v>66150</v>
      </c>
      <c r="T8" s="28"/>
      <c r="U8" s="30">
        <f t="shared" si="7"/>
        <v>52104.616410523449</v>
      </c>
      <c r="V8" s="30">
        <f t="shared" si="8"/>
        <v>7124.3513671874998</v>
      </c>
      <c r="W8" s="30">
        <f t="shared" si="9"/>
        <v>7429.220762125</v>
      </c>
      <c r="X8" s="30">
        <f t="shared" si="10"/>
        <v>5210.71965</v>
      </c>
      <c r="Y8" s="30">
        <f t="shared" si="10"/>
        <v>8684.5327500000003</v>
      </c>
      <c r="Z8" s="30">
        <f t="shared" si="11"/>
        <v>8607.9169941064047</v>
      </c>
      <c r="AA8" s="30">
        <f t="shared" si="12"/>
        <v>1141.5914375000002</v>
      </c>
      <c r="AB8" s="27">
        <f t="shared" si="2"/>
        <v>156452.94937144237</v>
      </c>
      <c r="AC8" s="27">
        <f t="shared" si="13"/>
        <v>13902.838776774006</v>
      </c>
    </row>
    <row r="9" spans="1:29" x14ac:dyDescent="0.3">
      <c r="B9" t="s">
        <v>49</v>
      </c>
      <c r="C9" s="26">
        <f>C2</f>
        <v>0.03</v>
      </c>
      <c r="E9" s="28">
        <v>2030</v>
      </c>
      <c r="F9" s="28"/>
      <c r="G9" s="30">
        <f t="shared" si="3"/>
        <v>13248.969638400002</v>
      </c>
      <c r="H9" s="30">
        <v>0</v>
      </c>
      <c r="I9" s="30">
        <f t="shared" si="4"/>
        <v>5796.3703715000001</v>
      </c>
      <c r="J9" s="30">
        <f t="shared" si="0"/>
        <v>7452.5992669000016</v>
      </c>
      <c r="K9" s="28"/>
      <c r="L9" s="28">
        <v>1200</v>
      </c>
      <c r="M9" s="28">
        <v>2000</v>
      </c>
      <c r="N9" s="28">
        <v>1000</v>
      </c>
      <c r="O9" s="28">
        <v>200</v>
      </c>
      <c r="P9" s="30">
        <f t="shared" si="5"/>
        <v>0</v>
      </c>
      <c r="Q9" s="30">
        <f t="shared" si="1"/>
        <v>3052.5992669000016</v>
      </c>
      <c r="R9" s="30">
        <f t="shared" si="6"/>
        <v>794.93817830399996</v>
      </c>
      <c r="S9" s="30">
        <f t="shared" si="14"/>
        <v>66150</v>
      </c>
      <c r="T9" s="28"/>
      <c r="U9" s="30">
        <f t="shared" si="7"/>
        <v>53238.673445022534</v>
      </c>
      <c r="V9" s="30">
        <f t="shared" si="8"/>
        <v>7302.4601513671878</v>
      </c>
      <c r="W9" s="30">
        <f t="shared" si="9"/>
        <v>8617.1790592418747</v>
      </c>
      <c r="X9" s="30">
        <f t="shared" si="10"/>
        <v>6697.3092307500001</v>
      </c>
      <c r="Y9" s="30">
        <f t="shared" si="10"/>
        <v>11162.18205125</v>
      </c>
      <c r="Z9" s="30">
        <f t="shared" si="11"/>
        <v>10054.840044440409</v>
      </c>
      <c r="AA9" s="30">
        <f t="shared" si="12"/>
        <v>1398.6710093750003</v>
      </c>
      <c r="AB9" s="27">
        <f t="shared" si="2"/>
        <v>164621.314991447</v>
      </c>
      <c r="AC9" s="27">
        <f t="shared" si="13"/>
        <v>8168.3656200046244</v>
      </c>
    </row>
    <row r="10" spans="1:29" x14ac:dyDescent="0.3">
      <c r="B10" t="s">
        <v>69</v>
      </c>
      <c r="C10" s="2">
        <v>0.05</v>
      </c>
      <c r="E10" s="28">
        <v>2031</v>
      </c>
      <c r="F10" s="28"/>
      <c r="G10" s="30">
        <f t="shared" si="3"/>
        <v>13513.949031168002</v>
      </c>
      <c r="H10" s="30">
        <v>0</v>
      </c>
      <c r="I10" s="30">
        <f t="shared" si="4"/>
        <v>5970.2614826449999</v>
      </c>
      <c r="J10" s="30">
        <f t="shared" si="0"/>
        <v>7543.6875485230021</v>
      </c>
      <c r="K10" s="28"/>
      <c r="L10" s="28">
        <v>1200</v>
      </c>
      <c r="M10" s="28">
        <v>2000</v>
      </c>
      <c r="N10" s="28">
        <v>1000</v>
      </c>
      <c r="O10" s="28">
        <v>200</v>
      </c>
      <c r="P10" s="30">
        <f t="shared" si="5"/>
        <v>3307.5</v>
      </c>
      <c r="Q10" s="30">
        <f t="shared" si="1"/>
        <v>-163.81245147699792</v>
      </c>
      <c r="R10" s="30">
        <f t="shared" si="6"/>
        <v>810.83694187007995</v>
      </c>
      <c r="S10" s="30">
        <f t="shared" si="14"/>
        <v>69457.5</v>
      </c>
      <c r="T10" s="28"/>
      <c r="U10" s="30">
        <f t="shared" si="7"/>
        <v>57642.470243957207</v>
      </c>
      <c r="V10" s="30">
        <f t="shared" si="8"/>
        <v>7485.0216551513677</v>
      </c>
      <c r="W10" s="30">
        <f t="shared" si="9"/>
        <v>9886.0620858041784</v>
      </c>
      <c r="X10" s="30">
        <f t="shared" si="10"/>
        <v>8265.661238441251</v>
      </c>
      <c r="Y10" s="30">
        <f t="shared" si="10"/>
        <v>13776.102064068749</v>
      </c>
      <c r="Z10" s="30">
        <f t="shared" si="11"/>
        <v>11576.887339547755</v>
      </c>
      <c r="AA10" s="30">
        <f t="shared" si="12"/>
        <v>1668.6045598437504</v>
      </c>
      <c r="AB10" s="27">
        <f t="shared" si="2"/>
        <v>179758.30918681424</v>
      </c>
      <c r="AC10" s="27">
        <f t="shared" si="13"/>
        <v>15136.994195367239</v>
      </c>
    </row>
    <row r="11" spans="1:29" x14ac:dyDescent="0.3">
      <c r="E11" s="28">
        <v>2032</v>
      </c>
      <c r="F11" s="28"/>
      <c r="G11" s="30">
        <f t="shared" si="3"/>
        <v>13784.228011791361</v>
      </c>
      <c r="H11" s="30">
        <v>0</v>
      </c>
      <c r="I11" s="30">
        <f t="shared" si="4"/>
        <v>6149.3693271243501</v>
      </c>
      <c r="J11" s="30">
        <f t="shared" si="0"/>
        <v>7634.8586846670114</v>
      </c>
      <c r="K11" s="28"/>
      <c r="L11" s="28">
        <v>1200</v>
      </c>
      <c r="M11" s="28">
        <v>2000</v>
      </c>
      <c r="N11" s="28">
        <v>1000</v>
      </c>
      <c r="O11" s="28">
        <v>200</v>
      </c>
      <c r="P11" s="30">
        <f t="shared" si="5"/>
        <v>0</v>
      </c>
      <c r="Q11" s="30">
        <f t="shared" si="1"/>
        <v>3234.8586846670114</v>
      </c>
      <c r="R11" s="30">
        <f t="shared" si="6"/>
        <v>827.05368070748159</v>
      </c>
      <c r="S11" s="30">
        <f t="shared" si="14"/>
        <v>69457.5</v>
      </c>
      <c r="T11" s="28"/>
      <c r="U11" s="30">
        <f t="shared" si="7"/>
        <v>58941.623687271844</v>
      </c>
      <c r="V11" s="30">
        <f t="shared" si="8"/>
        <v>7672.1471965301516</v>
      </c>
      <c r="W11" s="30">
        <f t="shared" si="9"/>
        <v>11240.632442393489</v>
      </c>
      <c r="X11" s="30">
        <f t="shared" si="10"/>
        <v>9920.2726065555198</v>
      </c>
      <c r="Y11" s="30">
        <f t="shared" si="10"/>
        <v>16533.787677592532</v>
      </c>
      <c r="Z11" s="30">
        <f t="shared" si="11"/>
        <v>13177.959330217074</v>
      </c>
      <c r="AA11" s="30">
        <f t="shared" si="12"/>
        <v>1952.034787835938</v>
      </c>
      <c r="AB11" s="27">
        <f t="shared" si="2"/>
        <v>188895.95772839655</v>
      </c>
      <c r="AC11" s="27">
        <f t="shared" si="13"/>
        <v>9137.6485415823117</v>
      </c>
    </row>
    <row r="12" spans="1:29" x14ac:dyDescent="0.3">
      <c r="A12" s="23" t="s">
        <v>44</v>
      </c>
      <c r="B12" t="s">
        <v>45</v>
      </c>
      <c r="C12" s="26">
        <f>2.5%</f>
        <v>2.5000000000000001E-2</v>
      </c>
      <c r="E12" s="28">
        <v>2033</v>
      </c>
      <c r="F12" s="28"/>
      <c r="G12" s="30">
        <f t="shared" si="3"/>
        <v>14059.91257202719</v>
      </c>
      <c r="H12" s="30">
        <v>0</v>
      </c>
      <c r="I12" s="30">
        <f t="shared" si="4"/>
        <v>6333.8504069380806</v>
      </c>
      <c r="J12" s="30">
        <f t="shared" si="0"/>
        <v>7726.0621650891089</v>
      </c>
      <c r="K12" s="28"/>
      <c r="L12" s="28">
        <v>1200</v>
      </c>
      <c r="M12" s="28">
        <v>2000</v>
      </c>
      <c r="N12" s="28">
        <v>1000</v>
      </c>
      <c r="O12" s="28">
        <v>200</v>
      </c>
      <c r="P12" s="30">
        <f t="shared" si="5"/>
        <v>3472.875</v>
      </c>
      <c r="Q12" s="30">
        <f t="shared" si="1"/>
        <v>-146.81283491089107</v>
      </c>
      <c r="R12" s="30">
        <f t="shared" si="6"/>
        <v>843.59475432163129</v>
      </c>
      <c r="S12" s="30">
        <f t="shared" si="14"/>
        <v>72930.375</v>
      </c>
      <c r="T12" s="28"/>
      <c r="U12" s="30">
        <f t="shared" si="7"/>
        <v>63672.420781121808</v>
      </c>
      <c r="V12" s="30">
        <f t="shared" si="8"/>
        <v>7863.9508764434058</v>
      </c>
      <c r="W12" s="30">
        <f t="shared" si="9"/>
        <v>12685.920907432614</v>
      </c>
      <c r="X12" s="30">
        <f t="shared" si="10"/>
        <v>11665.887599916074</v>
      </c>
      <c r="Y12" s="30">
        <f t="shared" si="10"/>
        <v>19443.14599986012</v>
      </c>
      <c r="Z12" s="30">
        <f t="shared" si="11"/>
        <v>14862.158978641944</v>
      </c>
      <c r="AA12" s="30">
        <f t="shared" si="12"/>
        <v>2249.6365272277349</v>
      </c>
      <c r="AB12" s="27">
        <f t="shared" si="2"/>
        <v>205373.49667064374</v>
      </c>
      <c r="AC12" s="27">
        <f t="shared" si="13"/>
        <v>16477.538942247193</v>
      </c>
    </row>
    <row r="13" spans="1:29" x14ac:dyDescent="0.3">
      <c r="A13" s="23" t="s">
        <v>42</v>
      </c>
      <c r="B13" t="s">
        <v>43</v>
      </c>
      <c r="C13" s="26">
        <f>C3*(1-C4)</f>
        <v>2.538E-2</v>
      </c>
      <c r="E13" s="28">
        <v>2034</v>
      </c>
      <c r="F13" s="28"/>
      <c r="G13" s="30">
        <f t="shared" si="3"/>
        <v>14341.110823467734</v>
      </c>
      <c r="H13" s="30">
        <v>0</v>
      </c>
      <c r="I13" s="30">
        <f t="shared" si="4"/>
        <v>6523.865919146223</v>
      </c>
      <c r="J13" s="30">
        <f t="shared" si="0"/>
        <v>7817.2449043215111</v>
      </c>
      <c r="K13" s="28"/>
      <c r="L13" s="28">
        <v>1200</v>
      </c>
      <c r="M13" s="28">
        <v>2000</v>
      </c>
      <c r="N13" s="28">
        <v>1000</v>
      </c>
      <c r="O13" s="28">
        <v>200</v>
      </c>
      <c r="P13" s="30">
        <f t="shared" si="5"/>
        <v>0</v>
      </c>
      <c r="Q13" s="30">
        <f t="shared" si="1"/>
        <v>3417.2449043215111</v>
      </c>
      <c r="R13" s="30">
        <f t="shared" si="6"/>
        <v>860.46664940806397</v>
      </c>
      <c r="S13" s="30">
        <f t="shared" si="14"/>
        <v>72930.375</v>
      </c>
      <c r="T13" s="28"/>
      <c r="U13" s="30">
        <f t="shared" si="7"/>
        <v>65141.613985635791</v>
      </c>
      <c r="V13" s="30">
        <f t="shared" si="8"/>
        <v>8060.5496483544912</v>
      </c>
      <c r="W13" s="30">
        <f t="shared" si="9"/>
        <v>14227.24131166304</v>
      </c>
      <c r="X13" s="30">
        <f t="shared" si="10"/>
        <v>13507.511417911457</v>
      </c>
      <c r="Y13" s="30">
        <f t="shared" si="10"/>
        <v>22512.519029852429</v>
      </c>
      <c r="Z13" s="30">
        <f t="shared" si="11"/>
        <v>16633.802272813035</v>
      </c>
      <c r="AA13" s="30">
        <f t="shared" si="12"/>
        <v>2562.1183535891214</v>
      </c>
      <c r="AB13" s="27">
        <f t="shared" si="2"/>
        <v>215575.73101981939</v>
      </c>
      <c r="AC13" s="27">
        <f t="shared" si="13"/>
        <v>10202.234349175647</v>
      </c>
    </row>
    <row r="14" spans="1:29" x14ac:dyDescent="0.3">
      <c r="E14" s="28">
        <v>2035</v>
      </c>
      <c r="F14" s="28"/>
      <c r="G14" s="30">
        <f t="shared" si="3"/>
        <v>14627.933039937088</v>
      </c>
      <c r="H14" s="30">
        <v>0</v>
      </c>
      <c r="I14" s="30">
        <f t="shared" si="4"/>
        <v>6719.5818967206096</v>
      </c>
      <c r="J14" s="30">
        <f t="shared" si="0"/>
        <v>7908.3511432164787</v>
      </c>
      <c r="K14" s="28"/>
      <c r="L14" s="28">
        <v>1200</v>
      </c>
      <c r="M14" s="28">
        <v>2000</v>
      </c>
      <c r="N14" s="28">
        <v>1000</v>
      </c>
      <c r="O14" s="28">
        <v>200</v>
      </c>
      <c r="P14" s="30">
        <f t="shared" si="5"/>
        <v>3646.5187500000029</v>
      </c>
      <c r="Q14" s="30">
        <f t="shared" si="1"/>
        <v>-138.16760678352421</v>
      </c>
      <c r="R14" s="30">
        <f t="shared" si="6"/>
        <v>877.67598239622532</v>
      </c>
      <c r="S14" s="30">
        <f t="shared" si="14"/>
        <v>76576.893750000003</v>
      </c>
      <c r="T14" s="28"/>
      <c r="U14" s="30">
        <f t="shared" si="7"/>
        <v>70212.153052912749</v>
      </c>
      <c r="V14" s="30">
        <f t="shared" si="8"/>
        <v>8262.0633895633528</v>
      </c>
      <c r="W14" s="30">
        <f t="shared" si="9"/>
        <v>15870.206233212572</v>
      </c>
      <c r="X14" s="30">
        <f t="shared" si="10"/>
        <v>15450.424545896587</v>
      </c>
      <c r="Y14" s="30">
        <f t="shared" si="10"/>
        <v>25750.707576494311</v>
      </c>
      <c r="Z14" s="30">
        <f t="shared" si="11"/>
        <v>18497.429286817489</v>
      </c>
      <c r="AA14" s="30">
        <f t="shared" si="12"/>
        <v>2890.2242712685775</v>
      </c>
      <c r="AB14" s="27">
        <f t="shared" si="2"/>
        <v>233510.10210616566</v>
      </c>
      <c r="AC14" s="27">
        <f t="shared" si="13"/>
        <v>17934.371086346277</v>
      </c>
    </row>
    <row r="15" spans="1:29" x14ac:dyDescent="0.3">
      <c r="A15" s="53" t="s">
        <v>52</v>
      </c>
      <c r="B15" t="s">
        <v>39</v>
      </c>
      <c r="C15" s="2">
        <v>0.5</v>
      </c>
      <c r="E15" s="28">
        <v>2036</v>
      </c>
      <c r="F15" s="28"/>
      <c r="G15" s="30">
        <f t="shared" si="3"/>
        <v>14920.491700735831</v>
      </c>
      <c r="H15" s="30">
        <v>0</v>
      </c>
      <c r="I15" s="30">
        <f t="shared" si="4"/>
        <v>6921.1693536222283</v>
      </c>
      <c r="J15" s="30">
        <f t="shared" si="0"/>
        <v>7999.3223471136025</v>
      </c>
      <c r="K15" s="28"/>
      <c r="L15" s="28">
        <v>1200</v>
      </c>
      <c r="M15" s="28">
        <v>2000</v>
      </c>
      <c r="N15" s="28">
        <v>1000</v>
      </c>
      <c r="O15" s="28">
        <v>200</v>
      </c>
      <c r="P15" s="30">
        <f t="shared" si="5"/>
        <v>0</v>
      </c>
      <c r="Q15" s="30">
        <f t="shared" si="1"/>
        <v>3599.3223471136025</v>
      </c>
      <c r="R15" s="30">
        <f t="shared" si="6"/>
        <v>895.22950204414985</v>
      </c>
      <c r="S15" s="30">
        <f t="shared" si="14"/>
        <v>76576.893750000003</v>
      </c>
      <c r="T15" s="28"/>
      <c r="U15" s="30">
        <f t="shared" si="7"/>
        <v>71855.969890612148</v>
      </c>
      <c r="V15" s="30">
        <f t="shared" si="8"/>
        <v>8468.6149743024362</v>
      </c>
      <c r="W15" s="30">
        <f t="shared" si="9"/>
        <v>17620.743558435486</v>
      </c>
      <c r="X15" s="30">
        <f t="shared" si="10"/>
        <v>17500.197895920901</v>
      </c>
      <c r="Y15" s="30">
        <f t="shared" si="10"/>
        <v>29166.996493201499</v>
      </c>
      <c r="Z15" s="30">
        <f t="shared" si="11"/>
        <v>20457.815815389054</v>
      </c>
      <c r="AA15" s="30">
        <f t="shared" si="12"/>
        <v>3234.7354848320065</v>
      </c>
      <c r="AB15" s="27">
        <f t="shared" si="2"/>
        <v>244881.96786269356</v>
      </c>
      <c r="AC15" s="27">
        <f t="shared" si="13"/>
        <v>11371.865756527899</v>
      </c>
    </row>
    <row r="16" spans="1:29" x14ac:dyDescent="0.3">
      <c r="A16" s="54"/>
      <c r="B16" t="s">
        <v>40</v>
      </c>
      <c r="C16" s="2">
        <f>1-C15</f>
        <v>0.5</v>
      </c>
      <c r="E16" s="28">
        <v>2037</v>
      </c>
      <c r="F16" s="28"/>
      <c r="G16" s="30">
        <f t="shared" si="3"/>
        <v>15218.901534750548</v>
      </c>
      <c r="H16" s="30">
        <v>0</v>
      </c>
      <c r="I16" s="30">
        <f t="shared" si="4"/>
        <v>7128.8044342308949</v>
      </c>
      <c r="J16" s="30">
        <f t="shared" si="0"/>
        <v>8090.0971005196534</v>
      </c>
      <c r="K16" s="28"/>
      <c r="L16" s="28">
        <v>1200</v>
      </c>
      <c r="M16" s="28">
        <v>2000</v>
      </c>
      <c r="N16" s="28">
        <v>1000</v>
      </c>
      <c r="O16" s="28">
        <v>200</v>
      </c>
      <c r="P16" s="30">
        <f t="shared" si="5"/>
        <v>3828.8446875000081</v>
      </c>
      <c r="Q16" s="30">
        <f t="shared" si="1"/>
        <v>-138.74758698035475</v>
      </c>
      <c r="R16" s="30">
        <f t="shared" si="6"/>
        <v>913.13409208503288</v>
      </c>
      <c r="S16" s="30">
        <f t="shared" si="14"/>
        <v>80405.738437500011</v>
      </c>
      <c r="T16" s="28"/>
      <c r="U16" s="30">
        <f t="shared" si="7"/>
        <v>77278.99675354948</v>
      </c>
      <c r="V16" s="30">
        <f t="shared" si="8"/>
        <v>8680.330348659998</v>
      </c>
      <c r="W16" s="30">
        <f t="shared" si="9"/>
        <v>19485.113956193585</v>
      </c>
      <c r="X16" s="30">
        <f t="shared" si="10"/>
        <v>19662.70878019655</v>
      </c>
      <c r="Y16" s="30">
        <f t="shared" si="10"/>
        <v>32771.181300327582</v>
      </c>
      <c r="Z16" s="30">
        <f t="shared" si="11"/>
        <v>22519.985612524055</v>
      </c>
      <c r="AA16" s="30">
        <f t="shared" si="12"/>
        <v>3596.4722590736069</v>
      </c>
      <c r="AB16" s="27">
        <f t="shared" si="2"/>
        <v>264400.52744802489</v>
      </c>
      <c r="AC16" s="27">
        <f t="shared" si="13"/>
        <v>19518.559585331328</v>
      </c>
    </row>
    <row r="17" spans="1:29" x14ac:dyDescent="0.3">
      <c r="A17" s="54"/>
      <c r="B17" t="s">
        <v>41</v>
      </c>
      <c r="C17" s="31">
        <f>$C$6*C16+$C$5*C15</f>
        <v>5.5000000000000007E-2</v>
      </c>
      <c r="E17" s="28">
        <v>2038</v>
      </c>
      <c r="F17" s="28" t="s">
        <v>50</v>
      </c>
      <c r="G17" s="30">
        <f t="shared" si="3"/>
        <v>15523.27956544556</v>
      </c>
      <c r="H17" s="30">
        <v>0</v>
      </c>
      <c r="I17" s="30">
        <f t="shared" si="4"/>
        <v>7342.6685672578224</v>
      </c>
      <c r="J17" s="30">
        <f t="shared" si="0"/>
        <v>8180.610998187738</v>
      </c>
      <c r="K17" s="28"/>
      <c r="L17" s="28"/>
      <c r="M17" s="28">
        <v>2000</v>
      </c>
      <c r="N17" s="28">
        <v>1000</v>
      </c>
      <c r="O17" s="28">
        <v>200</v>
      </c>
      <c r="P17" s="30">
        <f t="shared" si="5"/>
        <v>0</v>
      </c>
      <c r="Q17" s="30">
        <f t="shared" si="1"/>
        <v>4980.610998187738</v>
      </c>
      <c r="R17" s="30">
        <f t="shared" si="6"/>
        <v>931.39677392673354</v>
      </c>
      <c r="S17" s="30">
        <f t="shared" si="14"/>
        <v>80405.738437500011</v>
      </c>
      <c r="T17" s="28"/>
      <c r="U17" s="30">
        <f t="shared" si="7"/>
        <v>79101.590104174204</v>
      </c>
      <c r="V17" s="30">
        <f t="shared" si="8"/>
        <v>8897.3386073764977</v>
      </c>
      <c r="W17" s="30">
        <f t="shared" si="9"/>
        <v>21469.929315869267</v>
      </c>
      <c r="X17" s="30">
        <f t="shared" si="10"/>
        <v>21944.15776310736</v>
      </c>
      <c r="Y17" s="30">
        <f t="shared" si="10"/>
        <v>36573.596271845599</v>
      </c>
      <c r="Z17" s="30">
        <f t="shared" si="11"/>
        <v>24689.223265526303</v>
      </c>
      <c r="AA17" s="30">
        <f t="shared" si="12"/>
        <v>3976.2958720272873</v>
      </c>
      <c r="AB17" s="27">
        <f t="shared" si="2"/>
        <v>277057.86963742651</v>
      </c>
      <c r="AC17" s="27">
        <f t="shared" si="13"/>
        <v>12657.342189401621</v>
      </c>
    </row>
    <row r="18" spans="1:29" x14ac:dyDescent="0.3">
      <c r="E18" s="28">
        <v>2039</v>
      </c>
      <c r="F18" s="28"/>
      <c r="G18" s="30">
        <f t="shared" si="3"/>
        <v>15833.745156754472</v>
      </c>
      <c r="H18" s="30">
        <v>0</v>
      </c>
      <c r="I18" s="30">
        <f t="shared" si="4"/>
        <v>7562.9486242755574</v>
      </c>
      <c r="J18" s="30">
        <f t="shared" si="0"/>
        <v>8270.7965324789147</v>
      </c>
      <c r="K18" s="28"/>
      <c r="L18" s="28"/>
      <c r="M18" s="28">
        <v>2000</v>
      </c>
      <c r="N18" s="28">
        <v>1000</v>
      </c>
      <c r="O18" s="28">
        <v>200</v>
      </c>
      <c r="P18" s="30">
        <f t="shared" si="5"/>
        <v>4020.2869218749984</v>
      </c>
      <c r="Q18" s="30">
        <f t="shared" si="1"/>
        <v>1050.5096106039164</v>
      </c>
      <c r="R18" s="30">
        <f t="shared" si="6"/>
        <v>950.02470940526825</v>
      </c>
      <c r="S18" s="30">
        <f t="shared" si="14"/>
        <v>84426.025359375009</v>
      </c>
      <c r="T18" s="28"/>
      <c r="U18" s="30">
        <f t="shared" si="7"/>
        <v>86089.799459205882</v>
      </c>
      <c r="V18" s="30">
        <f t="shared" si="8"/>
        <v>9119.7720725609106</v>
      </c>
      <c r="W18" s="30">
        <f t="shared" si="9"/>
        <v>23582.172202168807</v>
      </c>
      <c r="X18" s="30">
        <f t="shared" si="10"/>
        <v>23151.086440078263</v>
      </c>
      <c r="Y18" s="30">
        <f t="shared" si="10"/>
        <v>40585.144066797111</v>
      </c>
      <c r="Z18" s="30">
        <f t="shared" si="11"/>
        <v>26971.08773747243</v>
      </c>
      <c r="AA18" s="30">
        <f t="shared" si="12"/>
        <v>4375.110665628652</v>
      </c>
      <c r="AB18" s="27">
        <f t="shared" si="2"/>
        <v>298300.19800328708</v>
      </c>
      <c r="AC18" s="27">
        <f t="shared" si="13"/>
        <v>21242.328365860565</v>
      </c>
    </row>
    <row r="19" spans="1:29" x14ac:dyDescent="0.3">
      <c r="A19" s="53" t="s">
        <v>56</v>
      </c>
      <c r="B19" t="s">
        <v>39</v>
      </c>
      <c r="C19" s="2">
        <v>0.5</v>
      </c>
      <c r="E19" s="28">
        <v>2040</v>
      </c>
      <c r="F19" s="28"/>
      <c r="G19" s="30">
        <f t="shared" si="3"/>
        <v>16150.420059889562</v>
      </c>
      <c r="H19" s="30">
        <v>0</v>
      </c>
      <c r="I19" s="30">
        <f t="shared" si="4"/>
        <v>7789.8370830038248</v>
      </c>
      <c r="J19" s="30">
        <f t="shared" si="0"/>
        <v>8360.5829768857366</v>
      </c>
      <c r="K19" s="28"/>
      <c r="L19" s="28"/>
      <c r="M19" s="28">
        <v>2000</v>
      </c>
      <c r="N19" s="28">
        <v>1000</v>
      </c>
      <c r="O19" s="28">
        <v>200</v>
      </c>
      <c r="P19" s="30">
        <f t="shared" si="5"/>
        <v>0</v>
      </c>
      <c r="Q19" s="30">
        <f t="shared" si="1"/>
        <v>5160.5829768857366</v>
      </c>
      <c r="R19" s="30">
        <f t="shared" si="6"/>
        <v>969.02520359337359</v>
      </c>
      <c r="S19" s="30">
        <f t="shared" si="14"/>
        <v>84426.025359375009</v>
      </c>
      <c r="T19" s="28"/>
      <c r="U19" s="30">
        <f t="shared" si="7"/>
        <v>89325.268180084429</v>
      </c>
      <c r="V19" s="30">
        <f t="shared" si="8"/>
        <v>9347.7663743749326</v>
      </c>
      <c r="W19" s="30">
        <f t="shared" si="9"/>
        <v>25829.216382693361</v>
      </c>
      <c r="X19" s="30">
        <f t="shared" si="10"/>
        <v>24424.396194282566</v>
      </c>
      <c r="Y19" s="30">
        <f t="shared" si="10"/>
        <v>44817.326990470952</v>
      </c>
      <c r="Z19" s="30">
        <f t="shared" si="11"/>
        <v>29371.426612801999</v>
      </c>
      <c r="AA19" s="30">
        <f t="shared" si="12"/>
        <v>4793.8661989100847</v>
      </c>
      <c r="AB19" s="27">
        <f t="shared" si="2"/>
        <v>312335.2922929934</v>
      </c>
      <c r="AC19" s="27">
        <f t="shared" si="13"/>
        <v>14035.094289706321</v>
      </c>
    </row>
    <row r="20" spans="1:29" x14ac:dyDescent="0.3">
      <c r="A20" s="54"/>
      <c r="B20" t="s">
        <v>40</v>
      </c>
      <c r="C20" s="2">
        <f>1-C19</f>
        <v>0.5</v>
      </c>
      <c r="E20" s="28">
        <v>2041</v>
      </c>
      <c r="F20" s="28" t="s">
        <v>71</v>
      </c>
      <c r="G20" s="30">
        <f t="shared" si="3"/>
        <v>16473.428461087355</v>
      </c>
      <c r="H20" s="30">
        <v>0</v>
      </c>
      <c r="I20" s="30">
        <f t="shared" si="4"/>
        <v>8023.53219549394</v>
      </c>
      <c r="J20" s="30">
        <f t="shared" si="0"/>
        <v>8449.8962655934156</v>
      </c>
      <c r="K20" s="28"/>
      <c r="L20" s="28"/>
      <c r="M20" s="28">
        <v>2000</v>
      </c>
      <c r="N20" s="28">
        <v>1000</v>
      </c>
      <c r="O20" s="28">
        <v>200</v>
      </c>
      <c r="P20" s="30">
        <f t="shared" si="5"/>
        <v>4221.3012679687527</v>
      </c>
      <c r="Q20" s="30">
        <f t="shared" si="1"/>
        <v>1028.5949976246629</v>
      </c>
      <c r="R20" s="30">
        <f t="shared" si="6"/>
        <v>988.40570766524104</v>
      </c>
      <c r="S20" s="30">
        <f t="shared" si="14"/>
        <v>88647.326627343762</v>
      </c>
      <c r="T20" s="28"/>
      <c r="U20" s="30">
        <f t="shared" si="7"/>
        <v>96752.926463380703</v>
      </c>
      <c r="V20" s="30">
        <f t="shared" si="8"/>
        <v>9581.4605337343055</v>
      </c>
      <c r="W20" s="30">
        <f t="shared" si="9"/>
        <v>28218.848487334872</v>
      </c>
      <c r="X20" s="30">
        <f t="shared" si="10"/>
        <v>25767.737984968109</v>
      </c>
      <c r="Y20" s="30">
        <f t="shared" si="10"/>
        <v>49282.279974946854</v>
      </c>
      <c r="Z20" s="30">
        <f t="shared" si="11"/>
        <v>31896.391082538677</v>
      </c>
      <c r="AA20" s="30">
        <f t="shared" si="12"/>
        <v>5233.5595088555892</v>
      </c>
      <c r="AB20" s="27">
        <f t="shared" si="2"/>
        <v>335380.53066310287</v>
      </c>
      <c r="AC20" s="27">
        <f t="shared" si="13"/>
        <v>23045.238370109466</v>
      </c>
    </row>
    <row r="21" spans="1:29" x14ac:dyDescent="0.3">
      <c r="A21" s="54"/>
      <c r="B21" t="s">
        <v>41</v>
      </c>
      <c r="C21" s="25">
        <f>$C$6*C20+$C$5*(1-$C$4)*C19</f>
        <v>5.1920000000000008E-2</v>
      </c>
      <c r="E21" s="28">
        <v>2042</v>
      </c>
      <c r="F21" s="28"/>
      <c r="G21" s="28"/>
      <c r="H21" s="30">
        <v>0</v>
      </c>
      <c r="I21" s="30">
        <f t="shared" si="4"/>
        <v>8264.2381613587586</v>
      </c>
      <c r="J21" s="30">
        <f t="shared" si="0"/>
        <v>-8264.2381613587586</v>
      </c>
      <c r="K21" s="28"/>
      <c r="L21" s="28"/>
      <c r="M21" s="28"/>
      <c r="N21" s="28"/>
      <c r="O21" s="28"/>
      <c r="P21" s="30">
        <f t="shared" si="5"/>
        <v>0</v>
      </c>
      <c r="Q21" s="30">
        <f t="shared" si="1"/>
        <v>-8264.2381613587586</v>
      </c>
      <c r="R21" s="28"/>
      <c r="S21" s="30">
        <f t="shared" si="14"/>
        <v>88647.326627343762</v>
      </c>
      <c r="T21" s="28"/>
      <c r="U21" s="30">
        <f t="shared" si="7"/>
        <v>100237.11073464596</v>
      </c>
      <c r="V21" s="30">
        <f t="shared" si="8"/>
        <v>9820.9970470776625</v>
      </c>
      <c r="W21" s="30">
        <f t="shared" si="9"/>
        <v>30759.290861803533</v>
      </c>
      <c r="X21" s="30">
        <f t="shared" si="10"/>
        <v>27184.963574141355</v>
      </c>
      <c r="Y21" s="30">
        <f t="shared" si="10"/>
        <v>53992.805373568932</v>
      </c>
      <c r="Z21" s="30">
        <f t="shared" si="11"/>
        <v>34552.451707544089</v>
      </c>
      <c r="AA21" s="30">
        <f t="shared" si="12"/>
        <v>5695.2374842983691</v>
      </c>
      <c r="AB21" s="27">
        <f t="shared" si="2"/>
        <v>350890.18341042369</v>
      </c>
      <c r="AC21" s="27">
        <f t="shared" si="13"/>
        <v>15509.652747320826</v>
      </c>
    </row>
    <row r="22" spans="1:29" x14ac:dyDescent="0.3">
      <c r="E22" s="28">
        <v>2043</v>
      </c>
      <c r="F22" s="28"/>
      <c r="G22" s="28"/>
      <c r="H22" s="30">
        <v>0</v>
      </c>
      <c r="I22" s="30">
        <f t="shared" si="4"/>
        <v>8512.1653061995221</v>
      </c>
      <c r="J22" s="30">
        <f t="shared" si="0"/>
        <v>-8512.1653061995221</v>
      </c>
      <c r="K22" s="28"/>
      <c r="L22" s="28"/>
      <c r="M22" s="28"/>
      <c r="N22" s="28"/>
      <c r="O22" s="28"/>
      <c r="P22" s="30">
        <f t="shared" si="5"/>
        <v>4432.3663313671859</v>
      </c>
      <c r="Q22" s="30">
        <f t="shared" si="1"/>
        <v>-12944.531637566708</v>
      </c>
      <c r="R22" s="28"/>
      <c r="S22" s="30">
        <f t="shared" si="14"/>
        <v>93079.692958710948</v>
      </c>
      <c r="T22" s="28"/>
      <c r="U22" s="30">
        <f t="shared" si="7"/>
        <v>94516.890443732511</v>
      </c>
      <c r="V22" s="30">
        <f t="shared" si="8"/>
        <v>10066.521973254605</v>
      </c>
      <c r="W22" s="30">
        <f t="shared" si="9"/>
        <v>32451.051859202726</v>
      </c>
      <c r="X22" s="30">
        <f t="shared" ref="X22:Y37" si="15">X21+X21*$C$17+L21</f>
        <v>28680.136570719129</v>
      </c>
      <c r="Y22" s="30">
        <f t="shared" si="15"/>
        <v>56962.409669115223</v>
      </c>
      <c r="Z22" s="30">
        <f t="shared" si="11"/>
        <v>36346.415000199777</v>
      </c>
      <c r="AA22" s="30">
        <f t="shared" si="12"/>
        <v>5979.9993585132879</v>
      </c>
      <c r="AB22" s="27">
        <f t="shared" si="2"/>
        <v>358083.11783344822</v>
      </c>
      <c r="AC22" s="27">
        <f t="shared" si="13"/>
        <v>7192.9344230245333</v>
      </c>
    </row>
    <row r="23" spans="1:29" x14ac:dyDescent="0.3">
      <c r="A23" t="s">
        <v>63</v>
      </c>
      <c r="B23" t="s">
        <v>41</v>
      </c>
      <c r="C23" s="2">
        <v>0.05</v>
      </c>
      <c r="E23" s="28">
        <v>2044</v>
      </c>
      <c r="F23" s="28"/>
      <c r="G23" s="28"/>
      <c r="H23" s="30">
        <v>0</v>
      </c>
      <c r="I23" s="30">
        <f t="shared" si="4"/>
        <v>8767.5302653855088</v>
      </c>
      <c r="J23" s="30">
        <f t="shared" si="0"/>
        <v>-8767.5302653855088</v>
      </c>
      <c r="K23" s="28"/>
      <c r="L23" s="28"/>
      <c r="M23" s="28"/>
      <c r="N23" s="28"/>
      <c r="O23" s="28"/>
      <c r="P23" s="30">
        <f t="shared" si="5"/>
        <v>0</v>
      </c>
      <c r="Q23" s="30">
        <f t="shared" si="1"/>
        <v>-8767.5302653855088</v>
      </c>
      <c r="R23" s="28"/>
      <c r="S23" s="30">
        <f t="shared" si="14"/>
        <v>93079.692958710948</v>
      </c>
      <c r="T23" s="28"/>
      <c r="U23" s="30">
        <f t="shared" si="7"/>
        <v>83971.197485627737</v>
      </c>
      <c r="V23" s="30">
        <f t="shared" si="8"/>
        <v>10318.185022585971</v>
      </c>
      <c r="W23" s="30">
        <f t="shared" si="9"/>
        <v>34235.859711458877</v>
      </c>
      <c r="X23" s="30">
        <f t="shared" si="15"/>
        <v>30257.544082108681</v>
      </c>
      <c r="Y23" s="30">
        <f t="shared" si="15"/>
        <v>60095.342200916559</v>
      </c>
      <c r="Z23" s="30">
        <f t="shared" si="11"/>
        <v>38233.520867010149</v>
      </c>
      <c r="AA23" s="30">
        <f t="shared" si="12"/>
        <v>6278.9993264389523</v>
      </c>
      <c r="AB23" s="27">
        <f t="shared" si="2"/>
        <v>356470.34165485785</v>
      </c>
      <c r="AC23" s="27">
        <f t="shared" si="13"/>
        <v>-1612.7761785903713</v>
      </c>
    </row>
    <row r="24" spans="1:29" x14ac:dyDescent="0.3">
      <c r="E24" s="28">
        <v>2045</v>
      </c>
      <c r="F24" s="28"/>
      <c r="G24" s="28"/>
      <c r="H24" s="30">
        <v>0</v>
      </c>
      <c r="I24" s="30">
        <f t="shared" si="4"/>
        <v>9030.5561733470749</v>
      </c>
      <c r="J24" s="30">
        <f t="shared" si="0"/>
        <v>-9030.5561733470749</v>
      </c>
      <c r="K24" s="28"/>
      <c r="L24" s="28"/>
      <c r="M24" s="28"/>
      <c r="N24" s="28"/>
      <c r="O24" s="28"/>
      <c r="P24" s="30">
        <f t="shared" si="5"/>
        <v>4653.9846479355474</v>
      </c>
      <c r="Q24" s="30">
        <f t="shared" si="1"/>
        <v>-13684.540821282622</v>
      </c>
      <c r="R24" s="28"/>
      <c r="S24" s="30">
        <f t="shared" si="14"/>
        <v>97733.677606646495</v>
      </c>
      <c r="T24" s="28"/>
      <c r="U24" s="30">
        <f t="shared" si="7"/>
        <v>77334.856212427461</v>
      </c>
      <c r="V24" s="30">
        <f t="shared" si="8"/>
        <v>10576.13964815062</v>
      </c>
      <c r="W24" s="30">
        <f t="shared" si="9"/>
        <v>36118.831995589113</v>
      </c>
      <c r="X24" s="30">
        <f t="shared" si="15"/>
        <v>31921.70900662466</v>
      </c>
      <c r="Y24" s="30">
        <f t="shared" si="15"/>
        <v>63400.58602196697</v>
      </c>
      <c r="Z24" s="30">
        <f t="shared" si="11"/>
        <v>40218.605270425316</v>
      </c>
      <c r="AA24" s="30">
        <f t="shared" si="12"/>
        <v>6592.9492927608999</v>
      </c>
      <c r="AB24" s="27">
        <f t="shared" si="2"/>
        <v>363897.35505459155</v>
      </c>
      <c r="AC24" s="27">
        <f t="shared" si="13"/>
        <v>7427.0133997336961</v>
      </c>
    </row>
    <row r="25" spans="1:29" x14ac:dyDescent="0.3">
      <c r="E25" s="28">
        <v>2046</v>
      </c>
      <c r="F25" s="28"/>
      <c r="G25" s="28"/>
      <c r="H25" s="30">
        <v>0</v>
      </c>
      <c r="I25" s="30">
        <f t="shared" si="4"/>
        <v>9301.4728585474877</v>
      </c>
      <c r="J25" s="30">
        <f t="shared" si="0"/>
        <v>-9301.4728585474877</v>
      </c>
      <c r="K25" s="28"/>
      <c r="L25" s="28"/>
      <c r="M25" s="28"/>
      <c r="N25" s="28"/>
      <c r="O25" s="28"/>
      <c r="P25" s="30">
        <f t="shared" si="5"/>
        <v>0</v>
      </c>
      <c r="Q25" s="30">
        <f t="shared" si="1"/>
        <v>-9301.4728585474877</v>
      </c>
      <c r="R25" s="28"/>
      <c r="S25" s="30">
        <f t="shared" si="14"/>
        <v>97733.677606646495</v>
      </c>
      <c r="T25" s="28"/>
      <c r="U25" s="30">
        <f t="shared" si="7"/>
        <v>65613.074041816231</v>
      </c>
      <c r="V25" s="30">
        <f t="shared" si="8"/>
        <v>10840.543139354386</v>
      </c>
      <c r="W25" s="30">
        <f t="shared" si="9"/>
        <v>38105.367755346517</v>
      </c>
      <c r="X25" s="30">
        <f t="shared" si="15"/>
        <v>33677.40300198902</v>
      </c>
      <c r="Y25" s="30">
        <f t="shared" si="15"/>
        <v>66887.618253175155</v>
      </c>
      <c r="Z25" s="30">
        <f t="shared" si="11"/>
        <v>42306.7552560658</v>
      </c>
      <c r="AA25" s="30">
        <f t="shared" si="12"/>
        <v>6922.5967573989446</v>
      </c>
      <c r="AB25" s="27">
        <f t="shared" si="2"/>
        <v>362087.03581179254</v>
      </c>
      <c r="AC25" s="27">
        <f t="shared" si="13"/>
        <v>-1810.3192427990143</v>
      </c>
    </row>
    <row r="26" spans="1:29" x14ac:dyDescent="0.3">
      <c r="E26" s="28">
        <v>2047</v>
      </c>
      <c r="F26" s="28"/>
      <c r="G26" s="28"/>
      <c r="H26" s="30">
        <v>0</v>
      </c>
      <c r="I26" s="30">
        <f t="shared" si="4"/>
        <v>9580.5170443039133</v>
      </c>
      <c r="J26" s="30">
        <f t="shared" si="0"/>
        <v>-9580.5170443039133</v>
      </c>
      <c r="K26" s="28"/>
      <c r="L26" s="28"/>
      <c r="M26" s="28"/>
      <c r="N26" s="28"/>
      <c r="O26" s="28"/>
      <c r="P26" s="30">
        <f t="shared" si="5"/>
        <v>4886.6838803323335</v>
      </c>
      <c r="Q26" s="30">
        <f t="shared" si="1"/>
        <v>-14467.200924636247</v>
      </c>
      <c r="R26" s="28"/>
      <c r="S26" s="30">
        <f t="shared" si="14"/>
        <v>102620.36148697883</v>
      </c>
      <c r="T26" s="28"/>
      <c r="U26" s="30">
        <f t="shared" si="7"/>
        <v>57976.86100245003</v>
      </c>
      <c r="V26" s="30">
        <f t="shared" si="8"/>
        <v>11111.556717838246</v>
      </c>
      <c r="W26" s="30">
        <f t="shared" si="9"/>
        <v>40201.162981890579</v>
      </c>
      <c r="X26" s="30">
        <f t="shared" si="15"/>
        <v>35529.660167098416</v>
      </c>
      <c r="Y26" s="30">
        <f t="shared" si="15"/>
        <v>70566.437257099795</v>
      </c>
      <c r="Z26" s="30">
        <f t="shared" si="11"/>
        <v>44503.321988960735</v>
      </c>
      <c r="AA26" s="30">
        <f t="shared" si="12"/>
        <v>7268.7265952688922</v>
      </c>
      <c r="AB26" s="27">
        <f t="shared" si="2"/>
        <v>369778.08819758549</v>
      </c>
      <c r="AC26" s="27">
        <f t="shared" si="13"/>
        <v>7691.0523857929511</v>
      </c>
    </row>
    <row r="27" spans="1:29" x14ac:dyDescent="0.3">
      <c r="E27" s="28">
        <v>2048</v>
      </c>
      <c r="F27" s="28" t="s">
        <v>51</v>
      </c>
      <c r="G27" s="28"/>
      <c r="H27" s="30">
        <v>0</v>
      </c>
      <c r="I27" s="30">
        <f t="shared" si="4"/>
        <v>9867.9325556330314</v>
      </c>
      <c r="J27" s="30">
        <f t="shared" si="0"/>
        <v>-9867.9325556330314</v>
      </c>
      <c r="K27" s="28"/>
      <c r="L27" s="28"/>
      <c r="M27" s="28"/>
      <c r="N27" s="28"/>
      <c r="O27" s="28"/>
      <c r="P27" s="30">
        <f t="shared" si="5"/>
        <v>0</v>
      </c>
      <c r="Q27" s="30">
        <f t="shared" si="1"/>
        <v>-9867.9325556330314</v>
      </c>
      <c r="R27" s="28"/>
      <c r="S27" s="30">
        <f t="shared" si="14"/>
        <v>102620.36148697883</v>
      </c>
      <c r="T27" s="28"/>
      <c r="U27" s="30">
        <f t="shared" si="7"/>
        <v>44981.112810055958</v>
      </c>
      <c r="V27" s="30">
        <f t="shared" si="8"/>
        <v>11389.345635784202</v>
      </c>
      <c r="W27" s="30">
        <f t="shared" si="9"/>
        <v>42412.226945894559</v>
      </c>
      <c r="X27" s="30">
        <f t="shared" si="15"/>
        <v>37483.791476288832</v>
      </c>
      <c r="Y27" s="30">
        <f t="shared" si="15"/>
        <v>74447.591306240283</v>
      </c>
      <c r="Z27" s="30">
        <f t="shared" si="11"/>
        <v>46813.934466627579</v>
      </c>
      <c r="AA27" s="30">
        <f t="shared" si="12"/>
        <v>7632.1629250323367</v>
      </c>
      <c r="AB27" s="27">
        <f t="shared" si="2"/>
        <v>367780.52705290262</v>
      </c>
      <c r="AC27" s="27">
        <f t="shared" si="13"/>
        <v>-1997.5611446828698</v>
      </c>
    </row>
    <row r="28" spans="1:29" x14ac:dyDescent="0.3">
      <c r="E28" s="28">
        <v>2049</v>
      </c>
      <c r="F28" s="28"/>
      <c r="G28" s="28"/>
      <c r="H28" s="30">
        <v>0</v>
      </c>
      <c r="I28" s="30">
        <f t="shared" si="4"/>
        <v>10163.970532302023</v>
      </c>
      <c r="J28" s="30">
        <f t="shared" si="0"/>
        <v>-10163.970532302023</v>
      </c>
      <c r="K28" s="28"/>
      <c r="L28" s="28"/>
      <c r="M28" s="28"/>
      <c r="N28" s="28"/>
      <c r="O28" s="28"/>
      <c r="P28" s="30">
        <f t="shared" si="5"/>
        <v>5131.0180743489473</v>
      </c>
      <c r="Q28" s="30">
        <f t="shared" si="1"/>
        <v>-15294.98860665097</v>
      </c>
      <c r="R28" s="28"/>
      <c r="S28" s="30">
        <f t="shared" si="14"/>
        <v>107751.37956132778</v>
      </c>
      <c r="T28" s="28"/>
      <c r="U28" s="30">
        <f t="shared" si="7"/>
        <v>36254.800897542147</v>
      </c>
      <c r="V28" s="30">
        <f t="shared" si="8"/>
        <v>11674.079276678807</v>
      </c>
      <c r="W28" s="30">
        <f t="shared" si="9"/>
        <v>44744.899427918761</v>
      </c>
      <c r="X28" s="30">
        <f t="shared" si="15"/>
        <v>39545.400007484721</v>
      </c>
      <c r="Y28" s="30">
        <f t="shared" si="15"/>
        <v>78542.208828083501</v>
      </c>
      <c r="Z28" s="30">
        <f t="shared" si="11"/>
        <v>49244.51394413488</v>
      </c>
      <c r="AA28" s="30">
        <f t="shared" si="12"/>
        <v>8013.7710712839535</v>
      </c>
      <c r="AB28" s="27">
        <f t="shared" si="2"/>
        <v>375771.05301445461</v>
      </c>
      <c r="AC28" s="27">
        <f t="shared" si="13"/>
        <v>7990.5259615519899</v>
      </c>
    </row>
    <row r="29" spans="1:29" x14ac:dyDescent="0.3">
      <c r="E29" s="28">
        <v>2050</v>
      </c>
      <c r="F29" s="28"/>
      <c r="G29" s="28"/>
      <c r="H29" s="30">
        <v>0</v>
      </c>
      <c r="I29" s="30">
        <f t="shared" si="4"/>
        <v>10468.889648271084</v>
      </c>
      <c r="J29" s="30">
        <f t="shared" si="0"/>
        <v>-10468.889648271084</v>
      </c>
      <c r="K29" s="28"/>
      <c r="L29" s="28"/>
      <c r="M29" s="28"/>
      <c r="N29" s="28"/>
      <c r="O29" s="28"/>
      <c r="P29" s="30">
        <f t="shared" si="5"/>
        <v>0</v>
      </c>
      <c r="Q29" s="30">
        <f t="shared" si="1"/>
        <v>-10468.889648271084</v>
      </c>
      <c r="R29" s="28"/>
      <c r="S29" s="30">
        <f t="shared" si="14"/>
        <v>107751.37956132778</v>
      </c>
      <c r="T29" s="28"/>
      <c r="U29" s="30">
        <f t="shared" si="7"/>
        <v>21879.95913767079</v>
      </c>
      <c r="V29" s="30">
        <f t="shared" si="8"/>
        <v>11965.931258595778</v>
      </c>
      <c r="W29" s="30">
        <f t="shared" si="9"/>
        <v>47205.868896454296</v>
      </c>
      <c r="X29" s="30">
        <f t="shared" si="15"/>
        <v>41720.397007896383</v>
      </c>
      <c r="Y29" s="30">
        <f t="shared" si="15"/>
        <v>82862.0303136281</v>
      </c>
      <c r="Z29" s="30">
        <f t="shared" si="11"/>
        <v>51801.289108114361</v>
      </c>
      <c r="AA29" s="30">
        <f t="shared" si="12"/>
        <v>8414.4596248481503</v>
      </c>
      <c r="AB29" s="27">
        <f t="shared" si="2"/>
        <v>373601.31490853563</v>
      </c>
      <c r="AC29" s="27">
        <f t="shared" si="13"/>
        <v>-2169.7381059189793</v>
      </c>
    </row>
    <row r="30" spans="1:29" x14ac:dyDescent="0.3">
      <c r="E30" s="28">
        <v>2051</v>
      </c>
      <c r="F30" s="28"/>
      <c r="G30" s="28"/>
      <c r="H30" s="30">
        <v>0</v>
      </c>
      <c r="I30" s="30">
        <f t="shared" si="4"/>
        <v>10782.956337719217</v>
      </c>
      <c r="J30" s="30">
        <f t="shared" si="0"/>
        <v>-10782.956337719217</v>
      </c>
      <c r="K30" s="28"/>
      <c r="L30" s="28"/>
      <c r="M30" s="28"/>
      <c r="N30" s="28"/>
      <c r="O30" s="28"/>
      <c r="P30" s="30">
        <f t="shared" si="5"/>
        <v>5387.5689780663961</v>
      </c>
      <c r="Q30" s="30">
        <f t="shared" si="1"/>
        <v>-16170.525315785613</v>
      </c>
      <c r="R30" s="28"/>
      <c r="S30" s="30">
        <f t="shared" si="14"/>
        <v>113138.94853939417</v>
      </c>
      <c r="T30" s="28"/>
      <c r="U30" s="30">
        <f t="shared" si="7"/>
        <v>11966.382852313789</v>
      </c>
      <c r="V30" s="30">
        <f t="shared" si="8"/>
        <v>12265.079540060673</v>
      </c>
      <c r="W30" s="30">
        <f t="shared" si="9"/>
        <v>49802.191685759281</v>
      </c>
      <c r="X30" s="30">
        <f t="shared" si="15"/>
        <v>44015.018843330683</v>
      </c>
      <c r="Y30" s="30">
        <f t="shared" si="15"/>
        <v>87419.441980877644</v>
      </c>
      <c r="Z30" s="30">
        <f t="shared" si="11"/>
        <v>54490.812038607663</v>
      </c>
      <c r="AA30" s="30">
        <f t="shared" si="12"/>
        <v>8835.1826060905587</v>
      </c>
      <c r="AB30" s="27">
        <f t="shared" si="2"/>
        <v>381933.0580864345</v>
      </c>
      <c r="AC30" s="27">
        <f t="shared" si="13"/>
        <v>8331.7431778988685</v>
      </c>
    </row>
    <row r="31" spans="1:29" x14ac:dyDescent="0.3">
      <c r="E31" s="28">
        <v>2052</v>
      </c>
      <c r="F31" s="28"/>
      <c r="G31" s="28"/>
      <c r="H31" s="30">
        <v>0</v>
      </c>
      <c r="I31" s="30">
        <f t="shared" si="4"/>
        <v>11106.445027850794</v>
      </c>
      <c r="J31" s="30">
        <f t="shared" si="0"/>
        <v>-11106.445027850794</v>
      </c>
      <c r="K31" s="28"/>
      <c r="L31" s="28"/>
      <c r="M31" s="28"/>
      <c r="N31" s="28"/>
      <c r="O31" s="28"/>
      <c r="P31" s="30">
        <f t="shared" si="5"/>
        <v>0</v>
      </c>
      <c r="Q31" s="30">
        <f t="shared" si="1"/>
        <v>-11106.445027850794</v>
      </c>
      <c r="R31" s="28"/>
      <c r="S31" s="30">
        <f t="shared" si="14"/>
        <v>113138.94853939417</v>
      </c>
      <c r="T31" s="28"/>
      <c r="U31" s="30">
        <f t="shared" si="7"/>
        <v>-3900.4356666801013</v>
      </c>
      <c r="V31" s="30">
        <f t="shared" si="8"/>
        <v>12571.70652856219</v>
      </c>
      <c r="W31" s="30">
        <f t="shared" si="9"/>
        <v>52541.312228476039</v>
      </c>
      <c r="X31" s="30">
        <f t="shared" si="15"/>
        <v>46435.84487971387</v>
      </c>
      <c r="Y31" s="30">
        <f t="shared" si="15"/>
        <v>92227.51128982591</v>
      </c>
      <c r="Z31" s="30">
        <f t="shared" si="11"/>
        <v>57319.974999652171</v>
      </c>
      <c r="AA31" s="30">
        <f t="shared" si="12"/>
        <v>9276.941736395087</v>
      </c>
      <c r="AB31" s="27">
        <f t="shared" si="2"/>
        <v>379611.80453533935</v>
      </c>
      <c r="AC31" s="27">
        <f t="shared" si="13"/>
        <v>-2321.253551095142</v>
      </c>
    </row>
    <row r="32" spans="1:29" x14ac:dyDescent="0.3">
      <c r="E32" s="28">
        <v>2053</v>
      </c>
      <c r="F32" s="28"/>
      <c r="G32" s="28"/>
      <c r="H32" s="30">
        <v>0</v>
      </c>
      <c r="I32" s="30">
        <f t="shared" si="4"/>
        <v>11439.638378686317</v>
      </c>
      <c r="J32" s="30">
        <f t="shared" si="0"/>
        <v>-11439.638378686317</v>
      </c>
      <c r="K32" s="28"/>
      <c r="L32" s="28"/>
      <c r="M32" s="28"/>
      <c r="N32" s="28"/>
      <c r="O32" s="28"/>
      <c r="P32" s="30">
        <f t="shared" si="5"/>
        <v>5656.9474269697093</v>
      </c>
      <c r="Q32" s="30">
        <f t="shared" si="1"/>
        <v>-17096.585805656025</v>
      </c>
      <c r="R32" s="28"/>
      <c r="S32" s="30">
        <f t="shared" si="14"/>
        <v>118795.89596636388</v>
      </c>
      <c r="T32" s="28"/>
      <c r="U32" s="30">
        <f t="shared" si="7"/>
        <v>-15006.880694530895</v>
      </c>
      <c r="V32" s="30">
        <f t="shared" si="8"/>
        <v>12885.999191776245</v>
      </c>
      <c r="W32" s="30">
        <f t="shared" si="9"/>
        <v>55431.084401042222</v>
      </c>
      <c r="X32" s="30">
        <f t="shared" si="15"/>
        <v>48989.816348098131</v>
      </c>
      <c r="Y32" s="30">
        <f t="shared" si="15"/>
        <v>97300.024410766331</v>
      </c>
      <c r="Z32" s="30">
        <f t="shared" si="11"/>
        <v>60296.02810163411</v>
      </c>
      <c r="AA32" s="30">
        <f t="shared" si="12"/>
        <v>9740.7888232148416</v>
      </c>
      <c r="AB32" s="27">
        <f t="shared" si="2"/>
        <v>388432.75654836488</v>
      </c>
      <c r="AC32" s="27">
        <f t="shared" si="13"/>
        <v>8820.952013025526</v>
      </c>
    </row>
    <row r="33" spans="5:29" x14ac:dyDescent="0.3">
      <c r="E33" s="28">
        <v>2054</v>
      </c>
      <c r="F33" s="28"/>
      <c r="G33" s="28"/>
      <c r="H33" s="30">
        <v>0</v>
      </c>
      <c r="I33" s="30">
        <f t="shared" si="4"/>
        <v>11782.827530046907</v>
      </c>
      <c r="J33" s="30">
        <f t="shared" si="0"/>
        <v>-11782.827530046907</v>
      </c>
      <c r="K33" s="28"/>
      <c r="L33" s="28"/>
      <c r="M33" s="28"/>
      <c r="N33" s="28"/>
      <c r="O33" s="28"/>
      <c r="P33" s="30">
        <f t="shared" si="5"/>
        <v>0</v>
      </c>
      <c r="Q33" s="30">
        <f t="shared" si="1"/>
        <v>-11782.827530046907</v>
      </c>
      <c r="R33" s="28"/>
      <c r="S33" s="30">
        <f t="shared" si="14"/>
        <v>118795.89596636388</v>
      </c>
      <c r="T33" s="28"/>
      <c r="U33" s="30">
        <f t="shared" si="7"/>
        <v>-32103.466500186922</v>
      </c>
      <c r="V33" s="30">
        <f t="shared" si="8"/>
        <v>13208.149171570651</v>
      </c>
      <c r="W33" s="30">
        <f t="shared" si="9"/>
        <v>58479.794043099544</v>
      </c>
      <c r="X33" s="30">
        <f t="shared" si="15"/>
        <v>51684.256247243531</v>
      </c>
      <c r="Y33" s="30">
        <f t="shared" si="15"/>
        <v>102651.52575335848</v>
      </c>
      <c r="Z33" s="30">
        <f t="shared" si="11"/>
        <v>63426.597880670954</v>
      </c>
      <c r="AA33" s="30">
        <f t="shared" si="12"/>
        <v>10227.828264375583</v>
      </c>
      <c r="AB33" s="27">
        <f t="shared" si="2"/>
        <v>386370.58082649572</v>
      </c>
      <c r="AC33" s="27">
        <f t="shared" si="13"/>
        <v>-2062.1757218691637</v>
      </c>
    </row>
    <row r="34" spans="5:29" x14ac:dyDescent="0.3">
      <c r="E34" s="28">
        <v>2055</v>
      </c>
      <c r="F34" s="28"/>
      <c r="G34" s="28"/>
      <c r="H34" s="30">
        <v>0</v>
      </c>
      <c r="I34" s="30">
        <f t="shared" si="4"/>
        <v>12136.312355948314</v>
      </c>
      <c r="J34" s="30">
        <f t="shared" si="0"/>
        <v>-12136.312355948314</v>
      </c>
      <c r="K34" s="28"/>
      <c r="L34" s="28"/>
      <c r="M34" s="28"/>
      <c r="N34" s="28"/>
      <c r="O34" s="28"/>
      <c r="P34" s="30">
        <f t="shared" si="5"/>
        <v>5939.7947983181948</v>
      </c>
      <c r="Q34" s="30">
        <f t="shared" si="1"/>
        <v>-18076.107154266509</v>
      </c>
      <c r="R34" s="28"/>
      <c r="S34" s="30">
        <f t="shared" si="14"/>
        <v>124735.69076468208</v>
      </c>
      <c r="T34" s="28"/>
      <c r="U34" s="30">
        <f t="shared" si="7"/>
        <v>-43886.294030233825</v>
      </c>
      <c r="V34" s="30">
        <f t="shared" si="8"/>
        <v>13538.352900859916</v>
      </c>
      <c r="W34" s="30">
        <f t="shared" si="9"/>
        <v>61696.182715470022</v>
      </c>
      <c r="X34" s="30">
        <f t="shared" si="15"/>
        <v>54526.890340841928</v>
      </c>
      <c r="Y34" s="30">
        <f t="shared" si="15"/>
        <v>108297.35966979319</v>
      </c>
      <c r="Z34" s="30">
        <f t="shared" si="11"/>
        <v>66719.706842635394</v>
      </c>
      <c r="AA34" s="30">
        <f t="shared" si="12"/>
        <v>10739.219677594361</v>
      </c>
      <c r="AB34" s="27">
        <f t="shared" si="2"/>
        <v>396367.1088816431</v>
      </c>
      <c r="AC34" s="27">
        <f t="shared" si="13"/>
        <v>9996.5280551473843</v>
      </c>
    </row>
    <row r="35" spans="5:29" x14ac:dyDescent="0.3">
      <c r="E35" s="28">
        <v>2056</v>
      </c>
      <c r="F35" s="28"/>
      <c r="G35" s="28"/>
      <c r="H35" s="30">
        <v>0</v>
      </c>
      <c r="I35" s="30">
        <f t="shared" si="4"/>
        <v>12500.401726626764</v>
      </c>
      <c r="J35" s="30">
        <f t="shared" si="0"/>
        <v>-12500.401726626764</v>
      </c>
      <c r="K35" s="28"/>
      <c r="L35" s="28"/>
      <c r="M35" s="28"/>
      <c r="N35" s="28"/>
      <c r="O35" s="28"/>
      <c r="P35" s="30">
        <f t="shared" si="5"/>
        <v>0</v>
      </c>
      <c r="Q35" s="30">
        <f t="shared" si="1"/>
        <v>-12500.401726626764</v>
      </c>
      <c r="R35" s="28"/>
      <c r="S35" s="30">
        <f t="shared" si="14"/>
        <v>124735.69076468208</v>
      </c>
      <c r="T35" s="28"/>
      <c r="U35" s="30">
        <f t="shared" si="7"/>
        <v>-61962.401184500333</v>
      </c>
      <c r="V35" s="30">
        <f t="shared" si="8"/>
        <v>13876.811723381414</v>
      </c>
      <c r="W35" s="30">
        <f t="shared" si="9"/>
        <v>65089.472764820872</v>
      </c>
      <c r="X35" s="30">
        <f t="shared" si="15"/>
        <v>57525.869309588234</v>
      </c>
      <c r="Y35" s="30">
        <f t="shared" si="15"/>
        <v>114253.71445163182</v>
      </c>
      <c r="Z35" s="30">
        <f t="shared" si="11"/>
        <v>70183.794021905022</v>
      </c>
      <c r="AA35" s="30">
        <f t="shared" si="12"/>
        <v>11276.18066147408</v>
      </c>
      <c r="AB35" s="27">
        <f t="shared" si="2"/>
        <v>394979.13251298323</v>
      </c>
      <c r="AC35" s="27">
        <f t="shared" si="13"/>
        <v>-1387.9763686598744</v>
      </c>
    </row>
    <row r="36" spans="5:29" x14ac:dyDescent="0.3">
      <c r="E36" s="28">
        <v>2057</v>
      </c>
      <c r="F36" s="28"/>
      <c r="G36" s="28"/>
      <c r="H36" s="30">
        <v>0</v>
      </c>
      <c r="I36" s="30">
        <f t="shared" si="4"/>
        <v>12875.413778425567</v>
      </c>
      <c r="J36" s="30">
        <f t="shared" si="0"/>
        <v>-12875.413778425567</v>
      </c>
      <c r="K36" s="28"/>
      <c r="L36" s="28"/>
      <c r="M36" s="28"/>
      <c r="N36" s="28"/>
      <c r="O36" s="28"/>
      <c r="P36" s="30">
        <f t="shared" si="5"/>
        <v>6236.7845382341038</v>
      </c>
      <c r="Q36" s="30">
        <f t="shared" si="1"/>
        <v>-19112.198316659669</v>
      </c>
      <c r="R36" s="28"/>
      <c r="S36" s="30">
        <f t="shared" si="14"/>
        <v>130972.47530291618</v>
      </c>
      <c r="T36" s="28"/>
      <c r="U36" s="30">
        <f t="shared" si="7"/>
        <v>-74462.802911127103</v>
      </c>
      <c r="V36" s="30">
        <f t="shared" si="8"/>
        <v>14223.732016465949</v>
      </c>
      <c r="W36" s="30">
        <f t="shared" si="9"/>
        <v>68669.393766886016</v>
      </c>
      <c r="X36" s="30">
        <f t="shared" si="15"/>
        <v>60689.792121615588</v>
      </c>
      <c r="Y36" s="30">
        <f t="shared" si="15"/>
        <v>120537.66874647158</v>
      </c>
      <c r="Z36" s="30">
        <f t="shared" si="11"/>
        <v>73827.736607522325</v>
      </c>
      <c r="AA36" s="30">
        <f t="shared" si="12"/>
        <v>11839.989694547783</v>
      </c>
      <c r="AB36" s="27">
        <f t="shared" si="2"/>
        <v>406297.98534529837</v>
      </c>
      <c r="AC36" s="27">
        <f t="shared" si="13"/>
        <v>11318.85283231514</v>
      </c>
    </row>
    <row r="37" spans="5:29" x14ac:dyDescent="0.3">
      <c r="E37" s="28">
        <v>2058</v>
      </c>
      <c r="F37" s="28"/>
      <c r="G37" s="28"/>
      <c r="H37" s="30">
        <v>0</v>
      </c>
      <c r="I37" s="30">
        <f t="shared" si="4"/>
        <v>13261.676191778335</v>
      </c>
      <c r="J37" s="30">
        <f t="shared" si="0"/>
        <v>-13261.676191778335</v>
      </c>
      <c r="K37" s="28"/>
      <c r="L37" s="28"/>
      <c r="M37" s="28"/>
      <c r="N37" s="28"/>
      <c r="O37" s="28"/>
      <c r="P37" s="30">
        <f t="shared" si="5"/>
        <v>0</v>
      </c>
      <c r="Q37" s="30">
        <f t="shared" si="1"/>
        <v>-13261.676191778335</v>
      </c>
      <c r="R37" s="28"/>
      <c r="S37" s="30">
        <f t="shared" si="14"/>
        <v>130972.47530291618</v>
      </c>
      <c r="T37" s="28"/>
      <c r="U37" s="30">
        <f t="shared" si="7"/>
        <v>-93575.001227786765</v>
      </c>
      <c r="V37" s="30">
        <f t="shared" si="8"/>
        <v>14579.325316877597</v>
      </c>
      <c r="W37" s="30">
        <f t="shared" si="9"/>
        <v>72446.210424064746</v>
      </c>
      <c r="X37" s="30">
        <f t="shared" si="15"/>
        <v>64027.730688304444</v>
      </c>
      <c r="Y37" s="30">
        <f t="shared" si="15"/>
        <v>127167.24052752752</v>
      </c>
      <c r="Z37" s="30">
        <f t="shared" si="11"/>
        <v>77660.872692184887</v>
      </c>
      <c r="AA37" s="30">
        <f t="shared" si="12"/>
        <v>12431.989179275171</v>
      </c>
      <c r="AB37" s="27">
        <f t="shared" si="2"/>
        <v>405710.84290336381</v>
      </c>
      <c r="AC37" s="27">
        <f t="shared" si="13"/>
        <v>-587.1424419345567</v>
      </c>
    </row>
    <row r="38" spans="5:29" x14ac:dyDescent="0.3">
      <c r="E38" s="28">
        <v>2059</v>
      </c>
      <c r="F38" s="28"/>
      <c r="G38" s="28"/>
      <c r="H38" s="30">
        <v>0</v>
      </c>
      <c r="I38" s="30">
        <f t="shared" si="4"/>
        <v>13659.526477531686</v>
      </c>
      <c r="J38" s="30">
        <f t="shared" si="0"/>
        <v>-13659.526477531686</v>
      </c>
      <c r="K38" s="28"/>
      <c r="L38" s="28"/>
      <c r="M38" s="28"/>
      <c r="N38" s="28"/>
      <c r="O38" s="28"/>
      <c r="P38" s="30">
        <f t="shared" si="5"/>
        <v>6548.6237651458214</v>
      </c>
      <c r="Q38" s="30">
        <f t="shared" si="1"/>
        <v>-20208.150242677508</v>
      </c>
      <c r="R38" s="28"/>
      <c r="S38" s="30">
        <f t="shared" si="14"/>
        <v>137521.099068062</v>
      </c>
      <c r="T38" s="28"/>
      <c r="U38" s="30">
        <f t="shared" si="7"/>
        <v>-106836.67741956509</v>
      </c>
      <c r="V38" s="30">
        <f t="shared" si="8"/>
        <v>14943.808449799537</v>
      </c>
      <c r="W38" s="30">
        <f t="shared" si="9"/>
        <v>76430.751997388303</v>
      </c>
      <c r="X38" s="30">
        <f t="shared" ref="X38:Y44" si="16">X37+X37*$C$17+L37</f>
        <v>67549.255876161187</v>
      </c>
      <c r="Y38" s="30">
        <f t="shared" si="16"/>
        <v>134161.43875654152</v>
      </c>
      <c r="Z38" s="30">
        <f t="shared" si="11"/>
        <v>81693.025202363133</v>
      </c>
      <c r="AA38" s="30">
        <f t="shared" si="12"/>
        <v>13053.588638238931</v>
      </c>
      <c r="AB38" s="27">
        <f t="shared" si="2"/>
        <v>418516.29056898959</v>
      </c>
      <c r="AC38" s="27">
        <f t="shared" si="13"/>
        <v>12805.447665625776</v>
      </c>
    </row>
    <row r="39" spans="5:29" x14ac:dyDescent="0.3">
      <c r="E39" s="28">
        <v>2060</v>
      </c>
      <c r="F39" s="28"/>
      <c r="G39" s="28"/>
      <c r="H39" s="30">
        <v>0</v>
      </c>
      <c r="I39" s="30">
        <f t="shared" si="4"/>
        <v>14069.312271857638</v>
      </c>
      <c r="J39" s="30">
        <f t="shared" si="0"/>
        <v>-14069.312271857638</v>
      </c>
      <c r="K39" s="28"/>
      <c r="L39" s="28"/>
      <c r="M39" s="28"/>
      <c r="N39" s="28"/>
      <c r="O39" s="28"/>
      <c r="P39" s="30">
        <f t="shared" si="5"/>
        <v>0</v>
      </c>
      <c r="Q39" s="30">
        <f t="shared" si="1"/>
        <v>-14069.312271857638</v>
      </c>
      <c r="R39" s="28"/>
      <c r="S39" s="30">
        <f t="shared" si="14"/>
        <v>137521.099068062</v>
      </c>
      <c r="T39" s="28"/>
      <c r="U39" s="30">
        <f t="shared" si="7"/>
        <v>-127044.82766224261</v>
      </c>
      <c r="V39" s="30">
        <f t="shared" si="8"/>
        <v>15317.403661044526</v>
      </c>
      <c r="W39" s="30">
        <f t="shared" si="9"/>
        <v>80634.443357244658</v>
      </c>
      <c r="X39" s="30">
        <f t="shared" si="16"/>
        <v>71264.464949350047</v>
      </c>
      <c r="Y39" s="30">
        <f t="shared" si="16"/>
        <v>141540.3178881513</v>
      </c>
      <c r="Z39" s="30">
        <f t="shared" si="11"/>
        <v>85934.527070869823</v>
      </c>
      <c r="AA39" s="30">
        <f t="shared" si="12"/>
        <v>13706.268070150878</v>
      </c>
      <c r="AB39" s="27">
        <f t="shared" si="2"/>
        <v>418873.69640263059</v>
      </c>
      <c r="AC39" s="27">
        <f t="shared" si="13"/>
        <v>357.40583364100894</v>
      </c>
    </row>
    <row r="40" spans="5:29" x14ac:dyDescent="0.3">
      <c r="E40" s="28">
        <v>2061</v>
      </c>
      <c r="F40" s="28"/>
      <c r="G40" s="28"/>
      <c r="H40" s="30">
        <v>0</v>
      </c>
      <c r="I40" s="30">
        <f t="shared" si="4"/>
        <v>14491.391640013368</v>
      </c>
      <c r="J40" s="30">
        <f t="shared" si="0"/>
        <v>-14491.391640013368</v>
      </c>
      <c r="K40" s="28"/>
      <c r="L40" s="28"/>
      <c r="M40" s="28"/>
      <c r="N40" s="28"/>
      <c r="O40" s="28"/>
      <c r="P40" s="30">
        <f t="shared" si="5"/>
        <v>6876.0549534031015</v>
      </c>
      <c r="Q40" s="30">
        <f t="shared" si="1"/>
        <v>-21367.446593416469</v>
      </c>
      <c r="R40" s="28"/>
      <c r="S40" s="30">
        <f t="shared" si="14"/>
        <v>144397.1540214651</v>
      </c>
      <c r="T40" s="28"/>
      <c r="U40" s="30">
        <f t="shared" si="7"/>
        <v>-141114.13993410024</v>
      </c>
      <c r="V40" s="30">
        <f t="shared" si="8"/>
        <v>15700.338752570638</v>
      </c>
      <c r="W40" s="30">
        <f t="shared" si="9"/>
        <v>85069.33774189312</v>
      </c>
      <c r="X40" s="30">
        <f t="shared" si="16"/>
        <v>75184.010521564298</v>
      </c>
      <c r="Y40" s="30">
        <f t="shared" si="16"/>
        <v>149325.03537199963</v>
      </c>
      <c r="Z40" s="30">
        <f t="shared" si="11"/>
        <v>90396.247716389378</v>
      </c>
      <c r="AA40" s="30">
        <f t="shared" si="12"/>
        <v>14391.581473658422</v>
      </c>
      <c r="AB40" s="27">
        <f t="shared" si="2"/>
        <v>433349.5656654404</v>
      </c>
      <c r="AC40" s="27">
        <f t="shared" si="13"/>
        <v>14475.869262809807</v>
      </c>
    </row>
    <row r="41" spans="5:29" x14ac:dyDescent="0.3">
      <c r="E41" s="28">
        <v>2062</v>
      </c>
      <c r="H41" s="30">
        <v>0</v>
      </c>
      <c r="I41" s="30">
        <f t="shared" si="4"/>
        <v>14926.133389213768</v>
      </c>
      <c r="J41" s="30">
        <f t="shared" si="0"/>
        <v>-14926.133389213768</v>
      </c>
      <c r="K41" s="28"/>
      <c r="L41" s="28"/>
      <c r="M41" s="28"/>
      <c r="N41" s="28"/>
      <c r="O41" s="28"/>
      <c r="P41" s="30">
        <f t="shared" si="5"/>
        <v>0</v>
      </c>
      <c r="Q41" s="30">
        <f t="shared" si="1"/>
        <v>-14926.133389213768</v>
      </c>
      <c r="R41" s="28"/>
      <c r="S41" s="30">
        <f t="shared" si="14"/>
        <v>144397.1540214651</v>
      </c>
      <c r="T41" s="28"/>
      <c r="U41" s="30">
        <f t="shared" si="7"/>
        <v>-162481.58652751672</v>
      </c>
      <c r="V41" s="30">
        <f t="shared" si="8"/>
        <v>16092.847221384904</v>
      </c>
      <c r="W41" s="30">
        <f t="shared" si="9"/>
        <v>89748.151317697237</v>
      </c>
      <c r="X41" s="30">
        <f t="shared" si="16"/>
        <v>79319.131100250335</v>
      </c>
      <c r="Y41" s="30">
        <f t="shared" si="16"/>
        <v>157537.91231745962</v>
      </c>
      <c r="Z41" s="30">
        <f t="shared" si="11"/>
        <v>95089.620897824323</v>
      </c>
      <c r="AA41" s="30">
        <f t="shared" si="12"/>
        <v>15111.160547341342</v>
      </c>
      <c r="AB41" s="27">
        <f t="shared" si="2"/>
        <v>434814.39089590614</v>
      </c>
      <c r="AC41" s="27">
        <f t="shared" si="13"/>
        <v>1464.8252304657362</v>
      </c>
    </row>
    <row r="42" spans="5:29" x14ac:dyDescent="0.3">
      <c r="E42" s="28">
        <v>2063</v>
      </c>
      <c r="H42" s="30">
        <v>0</v>
      </c>
      <c r="I42" s="30">
        <f t="shared" si="4"/>
        <v>15373.917390890181</v>
      </c>
      <c r="J42" s="30">
        <f t="shared" si="0"/>
        <v>-15373.917390890181</v>
      </c>
      <c r="K42" s="28"/>
      <c r="L42" s="28"/>
      <c r="M42" s="28"/>
      <c r="N42" s="28"/>
      <c r="O42" s="28"/>
      <c r="P42" s="30">
        <f t="shared" si="5"/>
        <v>7219.8577010732552</v>
      </c>
      <c r="Q42" s="30">
        <f t="shared" si="1"/>
        <v>-22593.775091963435</v>
      </c>
      <c r="R42" s="28"/>
      <c r="S42" s="30">
        <f t="shared" si="14"/>
        <v>151617.01172253836</v>
      </c>
      <c r="T42" s="28"/>
      <c r="U42" s="30">
        <f t="shared" si="7"/>
        <v>-177407.71991673048</v>
      </c>
      <c r="V42" s="30">
        <f t="shared" si="8"/>
        <v>16495.168401919527</v>
      </c>
      <c r="W42" s="30">
        <f t="shared" si="9"/>
        <v>94684.29964017059</v>
      </c>
      <c r="X42" s="30">
        <f t="shared" si="16"/>
        <v>83681.6833107641</v>
      </c>
      <c r="Y42" s="30">
        <f t="shared" si="16"/>
        <v>166202.49749491989</v>
      </c>
      <c r="Z42" s="30">
        <f t="shared" si="11"/>
        <v>100026.67401483936</v>
      </c>
      <c r="AA42" s="30">
        <f t="shared" si="12"/>
        <v>15866.71857470841</v>
      </c>
      <c r="AB42" s="27">
        <f t="shared" si="2"/>
        <v>451166.33324312972</v>
      </c>
      <c r="AC42" s="27">
        <f t="shared" si="13"/>
        <v>16351.942347223579</v>
      </c>
    </row>
    <row r="43" spans="5:29" x14ac:dyDescent="0.3">
      <c r="E43" s="28">
        <v>2064</v>
      </c>
      <c r="H43" s="30">
        <v>0</v>
      </c>
      <c r="I43" s="30">
        <f t="shared" si="4"/>
        <v>15835.134912616886</v>
      </c>
      <c r="J43" s="30">
        <f t="shared" si="0"/>
        <v>-15835.134912616886</v>
      </c>
      <c r="K43" s="28"/>
      <c r="L43" s="28"/>
      <c r="M43" s="28"/>
      <c r="N43" s="28"/>
      <c r="O43" s="28"/>
      <c r="P43" s="30">
        <f t="shared" si="5"/>
        <v>0</v>
      </c>
      <c r="Q43" s="30">
        <f t="shared" si="1"/>
        <v>-15835.134912616886</v>
      </c>
      <c r="R43" s="28"/>
      <c r="S43" s="30">
        <f t="shared" si="14"/>
        <v>151617.01172253836</v>
      </c>
      <c r="T43" s="28"/>
      <c r="U43" s="30">
        <f t="shared" si="7"/>
        <v>-200001.49500869392</v>
      </c>
      <c r="V43" s="30">
        <f t="shared" si="8"/>
        <v>16907.547611967515</v>
      </c>
      <c r="W43" s="30">
        <f t="shared" si="9"/>
        <v>99891.936120379978</v>
      </c>
      <c r="X43" s="30">
        <f t="shared" si="16"/>
        <v>88284.175892856132</v>
      </c>
      <c r="Y43" s="30">
        <f t="shared" si="16"/>
        <v>175343.63485714048</v>
      </c>
      <c r="Z43" s="30">
        <f t="shared" si="11"/>
        <v>105220.05892968983</v>
      </c>
      <c r="AA43" s="30">
        <f t="shared" si="12"/>
        <v>16660.054503443829</v>
      </c>
      <c r="AB43" s="27">
        <f t="shared" si="2"/>
        <v>453922.92462932219</v>
      </c>
      <c r="AC43" s="27">
        <f t="shared" si="13"/>
        <v>2756.5913861924782</v>
      </c>
    </row>
    <row r="44" spans="5:29" x14ac:dyDescent="0.3">
      <c r="E44" s="28">
        <v>2065</v>
      </c>
      <c r="H44" s="30">
        <v>0</v>
      </c>
      <c r="I44" s="30">
        <f t="shared" si="4"/>
        <v>16310.188959995394</v>
      </c>
      <c r="J44" s="30">
        <f t="shared" si="0"/>
        <v>-16310.188959995394</v>
      </c>
      <c r="K44" s="28"/>
      <c r="L44" s="28"/>
      <c r="M44" s="28"/>
      <c r="N44" s="28"/>
      <c r="O44" s="28"/>
      <c r="P44" s="30">
        <f t="shared" si="5"/>
        <v>7580.8505861269368</v>
      </c>
      <c r="Q44" s="30">
        <f t="shared" si="1"/>
        <v>-23891.039546122331</v>
      </c>
      <c r="R44" s="28"/>
      <c r="S44" s="30">
        <f t="shared" si="14"/>
        <v>159197.8623086653</v>
      </c>
      <c r="T44" s="28"/>
      <c r="U44" s="30">
        <f t="shared" si="7"/>
        <v>-215836.62992131081</v>
      </c>
      <c r="V44" s="30">
        <f t="shared" si="8"/>
        <v>17330.236302266701</v>
      </c>
      <c r="W44" s="30">
        <f t="shared" si="9"/>
        <v>105385.99260700088</v>
      </c>
      <c r="X44" s="30">
        <f t="shared" si="16"/>
        <v>93139.805566963216</v>
      </c>
      <c r="Y44" s="30">
        <f t="shared" si="16"/>
        <v>184987.53477428321</v>
      </c>
      <c r="Z44" s="30">
        <f t="shared" si="11"/>
        <v>110683.08438931932</v>
      </c>
      <c r="AA44" s="30">
        <f t="shared" si="12"/>
        <v>17493.05722861602</v>
      </c>
      <c r="AB44" s="27">
        <f t="shared" si="2"/>
        <v>472380.94325580384</v>
      </c>
      <c r="AC44" s="27">
        <f t="shared" si="13"/>
        <v>18458.018626481644</v>
      </c>
    </row>
    <row r="47" spans="5:29" x14ac:dyDescent="0.3">
      <c r="E47" s="55" t="s">
        <v>77</v>
      </c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7"/>
    </row>
    <row r="48" spans="5:29" x14ac:dyDescent="0.3">
      <c r="E48" s="28"/>
      <c r="F48" s="28"/>
      <c r="G48" s="28"/>
      <c r="H48" s="28"/>
      <c r="I48" s="28"/>
      <c r="J48" s="28"/>
      <c r="K48" s="54" t="s">
        <v>58</v>
      </c>
      <c r="L48" s="54"/>
      <c r="M48" s="54"/>
      <c r="N48" s="54"/>
      <c r="O48" s="54"/>
      <c r="P48" s="54"/>
      <c r="Q48" s="54"/>
      <c r="R48" s="54"/>
      <c r="S48" s="28"/>
      <c r="T48" s="28"/>
      <c r="U48" s="28"/>
      <c r="V48" s="28"/>
      <c r="W48" s="28"/>
      <c r="X48" s="28"/>
      <c r="Y48" s="28"/>
      <c r="Z48" s="28"/>
      <c r="AA48" s="28"/>
    </row>
    <row r="49" spans="5:29" ht="33" x14ac:dyDescent="0.3">
      <c r="E49" s="28"/>
      <c r="F49" s="28" t="s">
        <v>67</v>
      </c>
      <c r="G49" s="29" t="s">
        <v>74</v>
      </c>
      <c r="H49" s="29" t="s">
        <v>73</v>
      </c>
      <c r="I49" s="28" t="s">
        <v>47</v>
      </c>
      <c r="J49" s="28" t="s">
        <v>65</v>
      </c>
      <c r="K49" s="29" t="s">
        <v>66</v>
      </c>
      <c r="L49" s="28" t="s">
        <v>59</v>
      </c>
      <c r="M49" s="28" t="s">
        <v>60</v>
      </c>
      <c r="N49" s="28" t="s">
        <v>57</v>
      </c>
      <c r="O49" s="28" t="s">
        <v>64</v>
      </c>
      <c r="P49" s="28" t="s">
        <v>72</v>
      </c>
      <c r="Q49" s="28" t="s">
        <v>61</v>
      </c>
      <c r="R49" s="28" t="s">
        <v>62</v>
      </c>
      <c r="S49" s="28" t="s">
        <v>27</v>
      </c>
      <c r="T49" s="28" t="s">
        <v>28</v>
      </c>
      <c r="U49" s="28" t="s">
        <v>30</v>
      </c>
      <c r="V49" s="28" t="s">
        <v>34</v>
      </c>
      <c r="W49" s="28" t="s">
        <v>35</v>
      </c>
      <c r="X49" s="28" t="s">
        <v>36</v>
      </c>
      <c r="Y49" s="28" t="s">
        <v>37</v>
      </c>
      <c r="Z49" s="28" t="s">
        <v>38</v>
      </c>
      <c r="AA49" s="28" t="s">
        <v>53</v>
      </c>
      <c r="AB49" s="28" t="s">
        <v>68</v>
      </c>
      <c r="AC49" s="28" t="s">
        <v>70</v>
      </c>
    </row>
    <row r="50" spans="5:29" x14ac:dyDescent="0.3">
      <c r="E50" s="28">
        <v>2025</v>
      </c>
      <c r="F50" s="28"/>
      <c r="G50" s="30">
        <v>12000</v>
      </c>
      <c r="H50" s="30">
        <v>3000</v>
      </c>
      <c r="I50" s="30">
        <v>5000</v>
      </c>
      <c r="J50" s="30">
        <f>G50+H50-I50</f>
        <v>10000</v>
      </c>
      <c r="K50" s="28">
        <v>360</v>
      </c>
      <c r="L50" s="28">
        <v>1200</v>
      </c>
      <c r="M50" s="28">
        <v>2000</v>
      </c>
      <c r="N50" s="28">
        <v>1000</v>
      </c>
      <c r="O50" s="28">
        <v>200</v>
      </c>
      <c r="P50" s="28"/>
      <c r="Q50" s="30">
        <f>J50-K50-L50-M50-N50-O50-P50</f>
        <v>5240</v>
      </c>
      <c r="R50" s="30">
        <v>720</v>
      </c>
      <c r="S50" s="28">
        <v>60000</v>
      </c>
      <c r="T50" s="28"/>
      <c r="U50" s="30">
        <v>41000</v>
      </c>
      <c r="V50" s="30">
        <v>5100</v>
      </c>
      <c r="W50" s="30">
        <v>3400</v>
      </c>
      <c r="X50" s="28">
        <v>0</v>
      </c>
      <c r="Y50" s="30">
        <v>0</v>
      </c>
      <c r="Z50" s="30">
        <v>3500</v>
      </c>
      <c r="AA50" s="30">
        <v>230</v>
      </c>
      <c r="AB50" s="27">
        <f>SUM(S50:AA50)</f>
        <v>113230</v>
      </c>
    </row>
    <row r="51" spans="5:29" x14ac:dyDescent="0.3">
      <c r="E51" s="28">
        <v>2026</v>
      </c>
      <c r="F51" s="28"/>
      <c r="G51" s="30">
        <f>G50*(1+$C$8)</f>
        <v>12240</v>
      </c>
      <c r="H51" s="30">
        <v>3000</v>
      </c>
      <c r="I51" s="30">
        <f>I50*(1+$C$9)</f>
        <v>5150</v>
      </c>
      <c r="J51" s="30">
        <f t="shared" ref="J51:J90" si="17">G51+H51-I51</f>
        <v>10090</v>
      </c>
      <c r="K51" s="28">
        <v>360</v>
      </c>
      <c r="L51" s="28">
        <v>1200</v>
      </c>
      <c r="M51" s="28">
        <v>2000</v>
      </c>
      <c r="N51" s="28">
        <v>1000</v>
      </c>
      <c r="O51" s="28">
        <v>200</v>
      </c>
      <c r="P51" s="30">
        <f>S51-S50</f>
        <v>0</v>
      </c>
      <c r="Q51" s="30">
        <f t="shared" ref="Q51:Q90" si="18">J51-K51-L51-M51-N51-O51-P51</f>
        <v>5330</v>
      </c>
      <c r="R51" s="30">
        <f>R50*($C$8+1)</f>
        <v>734.4</v>
      </c>
      <c r="S51" s="30">
        <v>60000</v>
      </c>
      <c r="T51" s="28"/>
      <c r="U51" s="30">
        <f>IF(U50&gt;0,U50*(1+$C$13),U50)+Q50</f>
        <v>47280.58</v>
      </c>
      <c r="V51" s="30">
        <f>V50*$C$12+V50+K50</f>
        <v>5587.5</v>
      </c>
      <c r="W51" s="30">
        <f>W50+W50*$C$17+R50</f>
        <v>4307</v>
      </c>
      <c r="X51" s="30">
        <f>X50+X50*$C$17+L50</f>
        <v>1200</v>
      </c>
      <c r="Y51" s="30">
        <f>Y50+Y50*$C$17+M50</f>
        <v>2000</v>
      </c>
      <c r="Z51" s="30">
        <f>Z50+Z50*$C$21+N50</f>
        <v>4681.72</v>
      </c>
      <c r="AA51" s="30">
        <f>AA50+AA50*$C$23+O50</f>
        <v>441.5</v>
      </c>
      <c r="AB51" s="27">
        <f t="shared" ref="AB51:AB90" si="19">SUM(S51:AA51)</f>
        <v>125498.3</v>
      </c>
      <c r="AC51" s="27">
        <f>AB51-AB50</f>
        <v>12268.300000000003</v>
      </c>
    </row>
    <row r="52" spans="5:29" x14ac:dyDescent="0.3">
      <c r="E52" s="28">
        <v>2027</v>
      </c>
      <c r="F52" s="28"/>
      <c r="G52" s="30">
        <f t="shared" ref="G52:G66" si="20">G51*(1+$C$8)</f>
        <v>12484.800000000001</v>
      </c>
      <c r="H52" s="30">
        <v>3000</v>
      </c>
      <c r="I52" s="30">
        <f t="shared" ref="I52:I90" si="21">I51*(1+$C$9)</f>
        <v>5304.5</v>
      </c>
      <c r="J52" s="30">
        <f t="shared" si="17"/>
        <v>10180.300000000001</v>
      </c>
      <c r="K52" s="28">
        <v>360</v>
      </c>
      <c r="L52" s="28">
        <v>1200</v>
      </c>
      <c r="M52" s="28">
        <v>2000</v>
      </c>
      <c r="N52" s="28">
        <v>1000</v>
      </c>
      <c r="O52" s="28">
        <v>200</v>
      </c>
      <c r="P52" s="30">
        <f t="shared" ref="P52:P90" si="22">S52-S51</f>
        <v>3000</v>
      </c>
      <c r="Q52" s="30">
        <f t="shared" si="18"/>
        <v>2420.3000000000011</v>
      </c>
      <c r="R52" s="30">
        <f t="shared" ref="R52:R66" si="23">R51*($C$8+1)</f>
        <v>749.08799999999997</v>
      </c>
      <c r="S52" s="30">
        <f>S50*($C$10+1)</f>
        <v>63000</v>
      </c>
      <c r="T52" s="28"/>
      <c r="U52" s="30">
        <f t="shared" ref="U52:U90" si="24">IF(U51&gt;0,U51*(1+$C$13),U51)+Q51</f>
        <v>53810.561120400002</v>
      </c>
      <c r="V52" s="30">
        <f t="shared" ref="V52:V90" si="25">V51*$C$12+V51+K51</f>
        <v>6087.1875</v>
      </c>
      <c r="W52" s="30">
        <f t="shared" ref="W52:W90" si="26">W51+W51*$C$17+R51</f>
        <v>5278.2849999999999</v>
      </c>
      <c r="X52" s="30">
        <f t="shared" ref="X52:Y67" si="27">X51+X51*$C$17+L51</f>
        <v>2466</v>
      </c>
      <c r="Y52" s="30">
        <f t="shared" si="27"/>
        <v>4110</v>
      </c>
      <c r="Z52" s="30">
        <f t="shared" ref="Z52:Z90" si="28">Z51+Z51*$C$21+N51</f>
        <v>5924.7949024</v>
      </c>
      <c r="AA52" s="30">
        <f t="shared" ref="AA52:AA90" si="29">AA51+AA51*$C$23+O51</f>
        <v>663.57500000000005</v>
      </c>
      <c r="AB52" s="27">
        <f t="shared" si="19"/>
        <v>141340.40352280001</v>
      </c>
      <c r="AC52" s="27">
        <f t="shared" ref="AC52:AC90" si="30">AB52-AB51</f>
        <v>15842.103522800011</v>
      </c>
    </row>
    <row r="53" spans="5:29" x14ac:dyDescent="0.3">
      <c r="E53" s="28">
        <v>2028</v>
      </c>
      <c r="F53" s="28" t="s">
        <v>46</v>
      </c>
      <c r="G53" s="30">
        <f t="shared" si="20"/>
        <v>12734.496000000001</v>
      </c>
      <c r="H53" s="30">
        <v>3000</v>
      </c>
      <c r="I53" s="30">
        <f t="shared" si="21"/>
        <v>5463.6350000000002</v>
      </c>
      <c r="J53" s="30">
        <f t="shared" si="17"/>
        <v>10270.861000000001</v>
      </c>
      <c r="K53" s="28">
        <v>360</v>
      </c>
      <c r="L53" s="28">
        <v>1200</v>
      </c>
      <c r="M53" s="28">
        <v>2000</v>
      </c>
      <c r="N53" s="28">
        <v>1000</v>
      </c>
      <c r="O53" s="28">
        <v>200</v>
      </c>
      <c r="P53" s="30">
        <f t="shared" si="22"/>
        <v>0</v>
      </c>
      <c r="Q53" s="30">
        <f t="shared" si="18"/>
        <v>5510.8610000000008</v>
      </c>
      <c r="R53" s="30">
        <f t="shared" si="23"/>
        <v>764.06975999999997</v>
      </c>
      <c r="S53" s="30">
        <f>S51*($C$10+1)</f>
        <v>63000</v>
      </c>
      <c r="T53" s="28"/>
      <c r="U53" s="30">
        <f t="shared" si="24"/>
        <v>57596.573161635752</v>
      </c>
      <c r="V53" s="30">
        <f t="shared" si="25"/>
        <v>6599.3671875</v>
      </c>
      <c r="W53" s="30">
        <f t="shared" si="26"/>
        <v>6317.6786749999992</v>
      </c>
      <c r="X53" s="30">
        <f t="shared" si="27"/>
        <v>3801.63</v>
      </c>
      <c r="Y53" s="30">
        <f t="shared" si="27"/>
        <v>6336.05</v>
      </c>
      <c r="Z53" s="30">
        <f t="shared" si="28"/>
        <v>7232.410253732608</v>
      </c>
      <c r="AA53" s="30">
        <f t="shared" si="29"/>
        <v>896.75375000000008</v>
      </c>
      <c r="AB53" s="27">
        <f t="shared" si="19"/>
        <v>151780.46302786836</v>
      </c>
      <c r="AC53" s="27">
        <f t="shared" si="30"/>
        <v>10440.059505068348</v>
      </c>
    </row>
    <row r="54" spans="5:29" x14ac:dyDescent="0.3">
      <c r="E54" s="28">
        <v>2029</v>
      </c>
      <c r="F54" s="28"/>
      <c r="G54" s="30">
        <f t="shared" si="20"/>
        <v>12989.185920000002</v>
      </c>
      <c r="H54" s="30">
        <v>3000</v>
      </c>
      <c r="I54" s="30">
        <f t="shared" si="21"/>
        <v>5627.5440500000004</v>
      </c>
      <c r="J54" s="30">
        <f t="shared" si="17"/>
        <v>10361.641870000001</v>
      </c>
      <c r="K54" s="28"/>
      <c r="L54" s="28">
        <v>1200</v>
      </c>
      <c r="M54" s="28">
        <v>2000</v>
      </c>
      <c r="N54" s="28">
        <v>1000</v>
      </c>
      <c r="O54" s="28">
        <v>200</v>
      </c>
      <c r="P54" s="30">
        <f t="shared" si="22"/>
        <v>3150</v>
      </c>
      <c r="Q54" s="30">
        <f t="shared" si="18"/>
        <v>2811.6418700000013</v>
      </c>
      <c r="R54" s="30">
        <f t="shared" si="23"/>
        <v>779.35115519999999</v>
      </c>
      <c r="S54" s="30">
        <f t="shared" ref="S54:S90" si="31">S52*($C$10+1)</f>
        <v>66150</v>
      </c>
      <c r="T54" s="28"/>
      <c r="U54" s="30">
        <f t="shared" si="24"/>
        <v>64569.235188478066</v>
      </c>
      <c r="V54" s="30">
        <f t="shared" si="25"/>
        <v>7124.3513671874998</v>
      </c>
      <c r="W54" s="30">
        <f t="shared" si="26"/>
        <v>7429.220762125</v>
      </c>
      <c r="X54" s="30">
        <f t="shared" si="27"/>
        <v>5210.71965</v>
      </c>
      <c r="Y54" s="30">
        <f t="shared" si="27"/>
        <v>8684.5327500000003</v>
      </c>
      <c r="Z54" s="30">
        <f t="shared" si="28"/>
        <v>8607.9169941064047</v>
      </c>
      <c r="AA54" s="30">
        <f t="shared" si="29"/>
        <v>1141.5914375000002</v>
      </c>
      <c r="AB54" s="27">
        <f t="shared" si="19"/>
        <v>168917.568149397</v>
      </c>
      <c r="AC54" s="27">
        <f t="shared" si="30"/>
        <v>17137.105121528642</v>
      </c>
    </row>
    <row r="55" spans="5:29" x14ac:dyDescent="0.3">
      <c r="E55" s="28">
        <v>2030</v>
      </c>
      <c r="F55" s="28"/>
      <c r="G55" s="30">
        <f t="shared" si="20"/>
        <v>13248.969638400002</v>
      </c>
      <c r="H55" s="30">
        <v>3000</v>
      </c>
      <c r="I55" s="30">
        <f t="shared" si="21"/>
        <v>5796.3703715000001</v>
      </c>
      <c r="J55" s="30">
        <f t="shared" si="17"/>
        <v>10452.599266900001</v>
      </c>
      <c r="K55" s="28"/>
      <c r="L55" s="28">
        <v>1200</v>
      </c>
      <c r="M55" s="28">
        <v>2000</v>
      </c>
      <c r="N55" s="28">
        <v>1000</v>
      </c>
      <c r="O55" s="28">
        <v>200</v>
      </c>
      <c r="P55" s="30">
        <f t="shared" si="22"/>
        <v>0</v>
      </c>
      <c r="Q55" s="30">
        <f t="shared" si="18"/>
        <v>6052.5992669000007</v>
      </c>
      <c r="R55" s="30">
        <f t="shared" si="23"/>
        <v>794.93817830399996</v>
      </c>
      <c r="S55" s="30">
        <f t="shared" si="31"/>
        <v>66150</v>
      </c>
      <c r="T55" s="28"/>
      <c r="U55" s="30">
        <f t="shared" si="24"/>
        <v>69019.64424756165</v>
      </c>
      <c r="V55" s="30">
        <f t="shared" si="25"/>
        <v>7302.4601513671878</v>
      </c>
      <c r="W55" s="30">
        <f t="shared" si="26"/>
        <v>8617.1790592418747</v>
      </c>
      <c r="X55" s="30">
        <f t="shared" si="27"/>
        <v>6697.3092307500001</v>
      </c>
      <c r="Y55" s="30">
        <f t="shared" si="27"/>
        <v>11162.18205125</v>
      </c>
      <c r="Z55" s="30">
        <f t="shared" si="28"/>
        <v>10054.840044440409</v>
      </c>
      <c r="AA55" s="30">
        <f t="shared" si="29"/>
        <v>1398.6710093750003</v>
      </c>
      <c r="AB55" s="27">
        <f t="shared" si="19"/>
        <v>180402.28579398608</v>
      </c>
      <c r="AC55" s="27">
        <f t="shared" si="30"/>
        <v>11484.71764458908</v>
      </c>
    </row>
    <row r="56" spans="5:29" x14ac:dyDescent="0.3">
      <c r="E56" s="28">
        <v>2031</v>
      </c>
      <c r="F56" s="28"/>
      <c r="G56" s="30">
        <f t="shared" si="20"/>
        <v>13513.949031168002</v>
      </c>
      <c r="H56" s="30">
        <v>3000</v>
      </c>
      <c r="I56" s="30">
        <f t="shared" si="21"/>
        <v>5970.2614826449999</v>
      </c>
      <c r="J56" s="30">
        <f t="shared" si="17"/>
        <v>10543.687548523001</v>
      </c>
      <c r="K56" s="28"/>
      <c r="L56" s="28">
        <v>1200</v>
      </c>
      <c r="M56" s="28">
        <v>2000</v>
      </c>
      <c r="N56" s="28">
        <v>1000</v>
      </c>
      <c r="O56" s="28">
        <v>200</v>
      </c>
      <c r="P56" s="30">
        <f t="shared" si="22"/>
        <v>3307.5</v>
      </c>
      <c r="Q56" s="30">
        <f t="shared" si="18"/>
        <v>2836.1875485230012</v>
      </c>
      <c r="R56" s="30">
        <f t="shared" si="23"/>
        <v>810.83694187007995</v>
      </c>
      <c r="S56" s="30">
        <f t="shared" si="31"/>
        <v>69457.5</v>
      </c>
      <c r="T56" s="28"/>
      <c r="U56" s="30">
        <f t="shared" si="24"/>
        <v>76823.962085464766</v>
      </c>
      <c r="V56" s="30">
        <f t="shared" si="25"/>
        <v>7485.0216551513677</v>
      </c>
      <c r="W56" s="30">
        <f t="shared" si="26"/>
        <v>9886.0620858041784</v>
      </c>
      <c r="X56" s="30">
        <f t="shared" si="27"/>
        <v>8265.661238441251</v>
      </c>
      <c r="Y56" s="30">
        <f t="shared" si="27"/>
        <v>13776.102064068749</v>
      </c>
      <c r="Z56" s="30">
        <f t="shared" si="28"/>
        <v>11576.887339547755</v>
      </c>
      <c r="AA56" s="30">
        <f t="shared" si="29"/>
        <v>1668.6045598437504</v>
      </c>
      <c r="AB56" s="27">
        <f t="shared" si="19"/>
        <v>198939.80102832179</v>
      </c>
      <c r="AC56" s="27">
        <f t="shared" si="30"/>
        <v>18537.515234335704</v>
      </c>
    </row>
    <row r="57" spans="5:29" x14ac:dyDescent="0.3">
      <c r="E57" s="28">
        <v>2032</v>
      </c>
      <c r="F57" s="28"/>
      <c r="G57" s="30">
        <f t="shared" si="20"/>
        <v>13784.228011791361</v>
      </c>
      <c r="H57" s="30">
        <v>3000</v>
      </c>
      <c r="I57" s="30">
        <f t="shared" si="21"/>
        <v>6149.3693271243501</v>
      </c>
      <c r="J57" s="30">
        <f t="shared" si="17"/>
        <v>10634.858684667011</v>
      </c>
      <c r="K57" s="28"/>
      <c r="L57" s="28">
        <v>1200</v>
      </c>
      <c r="M57" s="28">
        <v>2000</v>
      </c>
      <c r="N57" s="28">
        <v>1000</v>
      </c>
      <c r="O57" s="28">
        <v>200</v>
      </c>
      <c r="P57" s="30">
        <f t="shared" si="22"/>
        <v>0</v>
      </c>
      <c r="Q57" s="30">
        <f t="shared" si="18"/>
        <v>6234.8586846670114</v>
      </c>
      <c r="R57" s="30">
        <f t="shared" si="23"/>
        <v>827.05368070748159</v>
      </c>
      <c r="S57" s="30">
        <f t="shared" si="31"/>
        <v>69457.5</v>
      </c>
      <c r="T57" s="28"/>
      <c r="U57" s="30">
        <f t="shared" si="24"/>
        <v>81609.941791716861</v>
      </c>
      <c r="V57" s="30">
        <f t="shared" si="25"/>
        <v>7672.1471965301516</v>
      </c>
      <c r="W57" s="30">
        <f t="shared" si="26"/>
        <v>11240.632442393489</v>
      </c>
      <c r="X57" s="30">
        <f t="shared" si="27"/>
        <v>9920.2726065555198</v>
      </c>
      <c r="Y57" s="30">
        <f t="shared" si="27"/>
        <v>16533.787677592532</v>
      </c>
      <c r="Z57" s="30">
        <f t="shared" si="28"/>
        <v>13177.959330217074</v>
      </c>
      <c r="AA57" s="30">
        <f t="shared" si="29"/>
        <v>1952.034787835938</v>
      </c>
      <c r="AB57" s="27">
        <f t="shared" si="19"/>
        <v>211564.27583284155</v>
      </c>
      <c r="AC57" s="27">
        <f t="shared" si="30"/>
        <v>12624.474804519763</v>
      </c>
    </row>
    <row r="58" spans="5:29" x14ac:dyDescent="0.3">
      <c r="E58" s="28">
        <v>2033</v>
      </c>
      <c r="F58" s="28"/>
      <c r="G58" s="30">
        <f t="shared" si="20"/>
        <v>14059.91257202719</v>
      </c>
      <c r="H58" s="30">
        <v>3000</v>
      </c>
      <c r="I58" s="30">
        <f t="shared" si="21"/>
        <v>6333.8504069380806</v>
      </c>
      <c r="J58" s="30">
        <f t="shared" si="17"/>
        <v>10726.062165089112</v>
      </c>
      <c r="K58" s="28"/>
      <c r="L58" s="28">
        <v>1200</v>
      </c>
      <c r="M58" s="28">
        <v>2000</v>
      </c>
      <c r="N58" s="28">
        <v>1000</v>
      </c>
      <c r="O58" s="28">
        <v>200</v>
      </c>
      <c r="P58" s="30">
        <f t="shared" si="22"/>
        <v>3472.875</v>
      </c>
      <c r="Q58" s="30">
        <f t="shared" si="18"/>
        <v>2853.1871650891117</v>
      </c>
      <c r="R58" s="30">
        <f t="shared" si="23"/>
        <v>843.59475432163129</v>
      </c>
      <c r="S58" s="30">
        <f t="shared" si="31"/>
        <v>72930.375</v>
      </c>
      <c r="T58" s="28"/>
      <c r="U58" s="30">
        <f t="shared" si="24"/>
        <v>89916.060799057639</v>
      </c>
      <c r="V58" s="30">
        <f t="shared" si="25"/>
        <v>7863.9508764434058</v>
      </c>
      <c r="W58" s="30">
        <f t="shared" si="26"/>
        <v>12685.920907432614</v>
      </c>
      <c r="X58" s="30">
        <f t="shared" si="27"/>
        <v>11665.887599916074</v>
      </c>
      <c r="Y58" s="30">
        <f t="shared" si="27"/>
        <v>19443.14599986012</v>
      </c>
      <c r="Z58" s="30">
        <f t="shared" si="28"/>
        <v>14862.158978641944</v>
      </c>
      <c r="AA58" s="30">
        <f t="shared" si="29"/>
        <v>2249.6365272277349</v>
      </c>
      <c r="AB58" s="27">
        <f t="shared" si="19"/>
        <v>231617.13668857957</v>
      </c>
      <c r="AC58" s="27">
        <f t="shared" si="30"/>
        <v>20052.860855738021</v>
      </c>
    </row>
    <row r="59" spans="5:29" x14ac:dyDescent="0.3">
      <c r="E59" s="28">
        <v>2034</v>
      </c>
      <c r="F59" s="28"/>
      <c r="G59" s="30">
        <f t="shared" si="20"/>
        <v>14341.110823467734</v>
      </c>
      <c r="H59" s="30">
        <v>3000</v>
      </c>
      <c r="I59" s="30">
        <f t="shared" si="21"/>
        <v>6523.865919146223</v>
      </c>
      <c r="J59" s="30">
        <f t="shared" si="17"/>
        <v>10817.244904321511</v>
      </c>
      <c r="K59" s="28"/>
      <c r="L59" s="28">
        <v>1200</v>
      </c>
      <c r="M59" s="28">
        <v>2000</v>
      </c>
      <c r="N59" s="28">
        <v>1000</v>
      </c>
      <c r="O59" s="28">
        <v>200</v>
      </c>
      <c r="P59" s="30">
        <f t="shared" si="22"/>
        <v>0</v>
      </c>
      <c r="Q59" s="30">
        <f t="shared" si="18"/>
        <v>6417.2449043215111</v>
      </c>
      <c r="R59" s="30">
        <f t="shared" si="23"/>
        <v>860.46664940806397</v>
      </c>
      <c r="S59" s="30">
        <f t="shared" si="31"/>
        <v>72930.375</v>
      </c>
      <c r="T59" s="28"/>
      <c r="U59" s="30">
        <f t="shared" si="24"/>
        <v>95051.317587226833</v>
      </c>
      <c r="V59" s="30">
        <f t="shared" si="25"/>
        <v>8060.5496483544912</v>
      </c>
      <c r="W59" s="30">
        <f t="shared" si="26"/>
        <v>14227.24131166304</v>
      </c>
      <c r="X59" s="30">
        <f t="shared" si="27"/>
        <v>13507.511417911457</v>
      </c>
      <c r="Y59" s="30">
        <f t="shared" si="27"/>
        <v>22512.519029852429</v>
      </c>
      <c r="Z59" s="30">
        <f t="shared" si="28"/>
        <v>16633.802272813035</v>
      </c>
      <c r="AA59" s="30">
        <f t="shared" si="29"/>
        <v>2562.1183535891214</v>
      </c>
      <c r="AB59" s="27">
        <f t="shared" si="19"/>
        <v>245485.43462141042</v>
      </c>
      <c r="AC59" s="27">
        <f t="shared" si="30"/>
        <v>13868.297932830843</v>
      </c>
    </row>
    <row r="60" spans="5:29" x14ac:dyDescent="0.3">
      <c r="E60" s="28">
        <v>2035</v>
      </c>
      <c r="F60" s="28"/>
      <c r="G60" s="30">
        <f t="shared" si="20"/>
        <v>14627.933039937088</v>
      </c>
      <c r="H60" s="30">
        <v>3000</v>
      </c>
      <c r="I60" s="30">
        <f t="shared" si="21"/>
        <v>6719.5818967206096</v>
      </c>
      <c r="J60" s="30">
        <f t="shared" si="17"/>
        <v>10908.351143216478</v>
      </c>
      <c r="K60" s="28"/>
      <c r="L60" s="28">
        <v>1200</v>
      </c>
      <c r="M60" s="28">
        <v>2000</v>
      </c>
      <c r="N60" s="28">
        <v>1000</v>
      </c>
      <c r="O60" s="28">
        <v>200</v>
      </c>
      <c r="P60" s="30">
        <f t="shared" si="22"/>
        <v>3646.5187500000029</v>
      </c>
      <c r="Q60" s="30">
        <f t="shared" si="18"/>
        <v>2861.8323932164749</v>
      </c>
      <c r="R60" s="30">
        <f t="shared" si="23"/>
        <v>877.67598239622532</v>
      </c>
      <c r="S60" s="30">
        <f t="shared" si="31"/>
        <v>76576.893750000003</v>
      </c>
      <c r="T60" s="28"/>
      <c r="U60" s="30">
        <f t="shared" si="24"/>
        <v>103880.96493191217</v>
      </c>
      <c r="V60" s="30">
        <f t="shared" si="25"/>
        <v>8262.0633895633528</v>
      </c>
      <c r="W60" s="30">
        <f t="shared" si="26"/>
        <v>15870.206233212572</v>
      </c>
      <c r="X60" s="30">
        <f t="shared" si="27"/>
        <v>15450.424545896587</v>
      </c>
      <c r="Y60" s="30">
        <f t="shared" si="27"/>
        <v>25750.707576494311</v>
      </c>
      <c r="Z60" s="30">
        <f t="shared" si="28"/>
        <v>18497.429286817489</v>
      </c>
      <c r="AA60" s="30">
        <f t="shared" si="29"/>
        <v>2890.2242712685775</v>
      </c>
      <c r="AB60" s="27">
        <f t="shared" si="19"/>
        <v>267178.91398516507</v>
      </c>
      <c r="AC60" s="27">
        <f t="shared" si="30"/>
        <v>21693.479363754654</v>
      </c>
    </row>
    <row r="61" spans="5:29" x14ac:dyDescent="0.3">
      <c r="E61" s="28">
        <v>2036</v>
      </c>
      <c r="F61" s="28"/>
      <c r="G61" s="30">
        <f t="shared" si="20"/>
        <v>14920.491700735831</v>
      </c>
      <c r="H61" s="30">
        <v>3000</v>
      </c>
      <c r="I61" s="30">
        <f t="shared" si="21"/>
        <v>6921.1693536222283</v>
      </c>
      <c r="J61" s="30">
        <f t="shared" si="17"/>
        <v>10999.322347113603</v>
      </c>
      <c r="K61" s="28"/>
      <c r="L61" s="28">
        <v>1200</v>
      </c>
      <c r="M61" s="28">
        <v>2000</v>
      </c>
      <c r="N61" s="28">
        <v>1000</v>
      </c>
      <c r="O61" s="28">
        <v>200</v>
      </c>
      <c r="P61" s="30">
        <f t="shared" si="22"/>
        <v>0</v>
      </c>
      <c r="Q61" s="30">
        <f t="shared" si="18"/>
        <v>6599.3223471136025</v>
      </c>
      <c r="R61" s="30">
        <f t="shared" si="23"/>
        <v>895.22950204414985</v>
      </c>
      <c r="S61" s="30">
        <f t="shared" si="31"/>
        <v>76576.893750000003</v>
      </c>
      <c r="T61" s="28"/>
      <c r="U61" s="30">
        <f t="shared" si="24"/>
        <v>109379.29621510058</v>
      </c>
      <c r="V61" s="30">
        <f t="shared" si="25"/>
        <v>8468.6149743024362</v>
      </c>
      <c r="W61" s="30">
        <f t="shared" si="26"/>
        <v>17620.743558435486</v>
      </c>
      <c r="X61" s="30">
        <f t="shared" si="27"/>
        <v>17500.197895920901</v>
      </c>
      <c r="Y61" s="30">
        <f t="shared" si="27"/>
        <v>29166.996493201499</v>
      </c>
      <c r="Z61" s="30">
        <f t="shared" si="28"/>
        <v>20457.815815389054</v>
      </c>
      <c r="AA61" s="30">
        <f t="shared" si="29"/>
        <v>3234.7354848320065</v>
      </c>
      <c r="AB61" s="27">
        <f t="shared" si="19"/>
        <v>282405.29418718198</v>
      </c>
      <c r="AC61" s="27">
        <f t="shared" si="30"/>
        <v>15226.38020201691</v>
      </c>
    </row>
    <row r="62" spans="5:29" x14ac:dyDescent="0.3">
      <c r="E62" s="28">
        <v>2037</v>
      </c>
      <c r="F62" s="28"/>
      <c r="G62" s="30">
        <f t="shared" si="20"/>
        <v>15218.901534750548</v>
      </c>
      <c r="H62" s="30">
        <v>3000</v>
      </c>
      <c r="I62" s="30">
        <f t="shared" si="21"/>
        <v>7128.8044342308949</v>
      </c>
      <c r="J62" s="30">
        <f t="shared" si="17"/>
        <v>11090.097100519653</v>
      </c>
      <c r="K62" s="28"/>
      <c r="L62" s="28">
        <v>1200</v>
      </c>
      <c r="M62" s="28">
        <v>2000</v>
      </c>
      <c r="N62" s="28">
        <v>1000</v>
      </c>
      <c r="O62" s="28">
        <v>200</v>
      </c>
      <c r="P62" s="30">
        <f t="shared" si="22"/>
        <v>3828.8446875000081</v>
      </c>
      <c r="Q62" s="30">
        <f t="shared" si="18"/>
        <v>2861.2524130196452</v>
      </c>
      <c r="R62" s="30">
        <f t="shared" si="23"/>
        <v>913.13409208503288</v>
      </c>
      <c r="S62" s="30">
        <f t="shared" si="31"/>
        <v>80405.738437500011</v>
      </c>
      <c r="T62" s="28"/>
      <c r="U62" s="30">
        <f t="shared" si="24"/>
        <v>118754.66510015342</v>
      </c>
      <c r="V62" s="30">
        <f t="shared" si="25"/>
        <v>8680.330348659998</v>
      </c>
      <c r="W62" s="30">
        <f t="shared" si="26"/>
        <v>19485.113956193585</v>
      </c>
      <c r="X62" s="30">
        <f t="shared" si="27"/>
        <v>19662.70878019655</v>
      </c>
      <c r="Y62" s="30">
        <f t="shared" si="27"/>
        <v>32771.181300327582</v>
      </c>
      <c r="Z62" s="30">
        <f t="shared" si="28"/>
        <v>22519.985612524055</v>
      </c>
      <c r="AA62" s="30">
        <f t="shared" si="29"/>
        <v>3596.4722590736069</v>
      </c>
      <c r="AB62" s="27">
        <f t="shared" si="19"/>
        <v>305876.19579462882</v>
      </c>
      <c r="AC62" s="27">
        <f t="shared" si="30"/>
        <v>23470.901607446838</v>
      </c>
    </row>
    <row r="63" spans="5:29" x14ac:dyDescent="0.3">
      <c r="E63" s="28">
        <v>2038</v>
      </c>
      <c r="F63" s="28" t="s">
        <v>50</v>
      </c>
      <c r="G63" s="30">
        <f t="shared" si="20"/>
        <v>15523.27956544556</v>
      </c>
      <c r="H63" s="30">
        <v>3000</v>
      </c>
      <c r="I63" s="30">
        <f t="shared" si="21"/>
        <v>7342.6685672578224</v>
      </c>
      <c r="J63" s="30">
        <f t="shared" si="17"/>
        <v>11180.61099818774</v>
      </c>
      <c r="K63" s="28"/>
      <c r="L63" s="28"/>
      <c r="M63" s="28">
        <v>2000</v>
      </c>
      <c r="N63" s="28">
        <v>1000</v>
      </c>
      <c r="O63" s="28">
        <v>200</v>
      </c>
      <c r="P63" s="30">
        <f t="shared" si="22"/>
        <v>0</v>
      </c>
      <c r="Q63" s="30">
        <f t="shared" si="18"/>
        <v>7980.6109981877398</v>
      </c>
      <c r="R63" s="30">
        <f t="shared" si="23"/>
        <v>931.39677392673354</v>
      </c>
      <c r="S63" s="30">
        <f t="shared" si="31"/>
        <v>80405.738437500011</v>
      </c>
      <c r="T63" s="28"/>
      <c r="U63" s="30">
        <f t="shared" si="24"/>
        <v>124629.91091341495</v>
      </c>
      <c r="V63" s="30">
        <f t="shared" si="25"/>
        <v>8897.3386073764977</v>
      </c>
      <c r="W63" s="30">
        <f t="shared" si="26"/>
        <v>21469.929315869267</v>
      </c>
      <c r="X63" s="30">
        <f t="shared" si="27"/>
        <v>21944.15776310736</v>
      </c>
      <c r="Y63" s="30">
        <f t="shared" si="27"/>
        <v>36573.596271845599</v>
      </c>
      <c r="Z63" s="30">
        <f t="shared" si="28"/>
        <v>24689.223265526303</v>
      </c>
      <c r="AA63" s="30">
        <f t="shared" si="29"/>
        <v>3976.2958720272873</v>
      </c>
      <c r="AB63" s="27">
        <f t="shared" si="19"/>
        <v>322586.19044666726</v>
      </c>
      <c r="AC63" s="27">
        <f t="shared" si="30"/>
        <v>16709.99465203844</v>
      </c>
    </row>
    <row r="64" spans="5:29" x14ac:dyDescent="0.3">
      <c r="E64" s="28">
        <v>2039</v>
      </c>
      <c r="F64" s="28"/>
      <c r="G64" s="30">
        <f t="shared" si="20"/>
        <v>15833.745156754472</v>
      </c>
      <c r="H64" s="30">
        <v>3000</v>
      </c>
      <c r="I64" s="30">
        <f t="shared" si="21"/>
        <v>7562.9486242755574</v>
      </c>
      <c r="J64" s="30">
        <f t="shared" si="17"/>
        <v>11270.796532478913</v>
      </c>
      <c r="K64" s="28"/>
      <c r="L64" s="28"/>
      <c r="M64" s="28">
        <v>2000</v>
      </c>
      <c r="N64" s="28">
        <v>1000</v>
      </c>
      <c r="O64" s="28">
        <v>200</v>
      </c>
      <c r="P64" s="30">
        <f t="shared" si="22"/>
        <v>4020.2869218749984</v>
      </c>
      <c r="Q64" s="30">
        <f t="shared" si="18"/>
        <v>4050.5096106039146</v>
      </c>
      <c r="R64" s="30">
        <f t="shared" si="23"/>
        <v>950.02470940526825</v>
      </c>
      <c r="S64" s="30">
        <f t="shared" si="31"/>
        <v>84426.025359375009</v>
      </c>
      <c r="T64" s="28"/>
      <c r="U64" s="30">
        <f t="shared" si="24"/>
        <v>135773.62905058515</v>
      </c>
      <c r="V64" s="30">
        <f t="shared" si="25"/>
        <v>9119.7720725609106</v>
      </c>
      <c r="W64" s="30">
        <f t="shared" si="26"/>
        <v>23582.172202168807</v>
      </c>
      <c r="X64" s="30">
        <f t="shared" si="27"/>
        <v>23151.086440078263</v>
      </c>
      <c r="Y64" s="30">
        <f t="shared" si="27"/>
        <v>40585.144066797111</v>
      </c>
      <c r="Z64" s="30">
        <f t="shared" si="28"/>
        <v>26971.08773747243</v>
      </c>
      <c r="AA64" s="30">
        <f t="shared" si="29"/>
        <v>4375.110665628652</v>
      </c>
      <c r="AB64" s="27">
        <f t="shared" si="19"/>
        <v>347984.02759466629</v>
      </c>
      <c r="AC64" s="27">
        <f t="shared" si="30"/>
        <v>25397.837147999031</v>
      </c>
    </row>
    <row r="65" spans="5:29" x14ac:dyDescent="0.3">
      <c r="E65" s="28">
        <v>2040</v>
      </c>
      <c r="F65" s="28"/>
      <c r="G65" s="30">
        <f t="shared" si="20"/>
        <v>16150.420059889562</v>
      </c>
      <c r="H65" s="30">
        <v>3000</v>
      </c>
      <c r="I65" s="30">
        <f t="shared" si="21"/>
        <v>7789.8370830038248</v>
      </c>
      <c r="J65" s="30">
        <f t="shared" si="17"/>
        <v>11360.582976885737</v>
      </c>
      <c r="K65" s="28"/>
      <c r="L65" s="28"/>
      <c r="M65" s="28">
        <v>2000</v>
      </c>
      <c r="N65" s="28">
        <v>1000</v>
      </c>
      <c r="O65" s="28">
        <v>200</v>
      </c>
      <c r="P65" s="30">
        <f t="shared" si="22"/>
        <v>0</v>
      </c>
      <c r="Q65" s="30">
        <f t="shared" si="18"/>
        <v>8160.5829768857366</v>
      </c>
      <c r="R65" s="30">
        <f t="shared" si="23"/>
        <v>969.02520359337359</v>
      </c>
      <c r="S65" s="30">
        <f t="shared" si="31"/>
        <v>84426.025359375009</v>
      </c>
      <c r="T65" s="28"/>
      <c r="U65" s="30">
        <f t="shared" si="24"/>
        <v>143270.0733664929</v>
      </c>
      <c r="V65" s="30">
        <f t="shared" si="25"/>
        <v>9347.7663743749326</v>
      </c>
      <c r="W65" s="30">
        <f t="shared" si="26"/>
        <v>25829.216382693361</v>
      </c>
      <c r="X65" s="30">
        <f t="shared" si="27"/>
        <v>24424.396194282566</v>
      </c>
      <c r="Y65" s="30">
        <f t="shared" si="27"/>
        <v>44817.326990470952</v>
      </c>
      <c r="Z65" s="30">
        <f t="shared" si="28"/>
        <v>29371.426612801999</v>
      </c>
      <c r="AA65" s="30">
        <f t="shared" si="29"/>
        <v>4793.8661989100847</v>
      </c>
      <c r="AB65" s="27">
        <f t="shared" si="19"/>
        <v>366280.09747940185</v>
      </c>
      <c r="AC65" s="27">
        <f t="shared" si="30"/>
        <v>18296.069884735567</v>
      </c>
    </row>
    <row r="66" spans="5:29" x14ac:dyDescent="0.3">
      <c r="E66" s="28">
        <v>2041</v>
      </c>
      <c r="F66" s="28" t="s">
        <v>71</v>
      </c>
      <c r="G66" s="30">
        <f t="shared" si="20"/>
        <v>16473.428461087355</v>
      </c>
      <c r="H66" s="30">
        <v>3000</v>
      </c>
      <c r="I66" s="30">
        <f t="shared" si="21"/>
        <v>8023.53219549394</v>
      </c>
      <c r="J66" s="30">
        <f t="shared" si="17"/>
        <v>11449.896265593416</v>
      </c>
      <c r="K66" s="28"/>
      <c r="L66" s="28"/>
      <c r="M66" s="28">
        <v>2000</v>
      </c>
      <c r="N66" s="28">
        <v>1000</v>
      </c>
      <c r="O66" s="28">
        <v>200</v>
      </c>
      <c r="P66" s="30">
        <f t="shared" si="22"/>
        <v>4221.3012679687527</v>
      </c>
      <c r="Q66" s="30">
        <f t="shared" si="18"/>
        <v>4028.5949976246629</v>
      </c>
      <c r="R66" s="30">
        <f t="shared" si="23"/>
        <v>988.40570766524104</v>
      </c>
      <c r="S66" s="30">
        <f t="shared" si="31"/>
        <v>88647.326627343762</v>
      </c>
      <c r="T66" s="28"/>
      <c r="U66" s="30">
        <f t="shared" si="24"/>
        <v>155066.8508054202</v>
      </c>
      <c r="V66" s="30">
        <f t="shared" si="25"/>
        <v>9581.4605337343055</v>
      </c>
      <c r="W66" s="30">
        <f t="shared" si="26"/>
        <v>28218.848487334872</v>
      </c>
      <c r="X66" s="30">
        <f t="shared" si="27"/>
        <v>25767.737984968109</v>
      </c>
      <c r="Y66" s="30">
        <f t="shared" si="27"/>
        <v>49282.279974946854</v>
      </c>
      <c r="Z66" s="30">
        <f t="shared" si="28"/>
        <v>31896.391082538677</v>
      </c>
      <c r="AA66" s="30">
        <f t="shared" si="29"/>
        <v>5233.5595088555892</v>
      </c>
      <c r="AB66" s="27">
        <f t="shared" si="19"/>
        <v>393694.45500514237</v>
      </c>
      <c r="AC66" s="27">
        <f t="shared" si="30"/>
        <v>27414.357525740517</v>
      </c>
    </row>
    <row r="67" spans="5:29" x14ac:dyDescent="0.3">
      <c r="E67" s="28">
        <v>2042</v>
      </c>
      <c r="F67" s="28"/>
      <c r="G67" s="28"/>
      <c r="H67" s="30">
        <v>3000</v>
      </c>
      <c r="I67" s="30">
        <f t="shared" si="21"/>
        <v>8264.2381613587586</v>
      </c>
      <c r="J67" s="30">
        <f t="shared" si="17"/>
        <v>-5264.2381613587586</v>
      </c>
      <c r="K67" s="28"/>
      <c r="L67" s="28"/>
      <c r="M67" s="28"/>
      <c r="N67" s="28"/>
      <c r="O67" s="28"/>
      <c r="P67" s="30">
        <f t="shared" si="22"/>
        <v>0</v>
      </c>
      <c r="Q67" s="30">
        <f t="shared" si="18"/>
        <v>-5264.2381613587586</v>
      </c>
      <c r="R67" s="28"/>
      <c r="S67" s="30">
        <f t="shared" si="31"/>
        <v>88647.326627343762</v>
      </c>
      <c r="T67" s="28"/>
      <c r="U67" s="30">
        <f t="shared" si="24"/>
        <v>163031.04247648641</v>
      </c>
      <c r="V67" s="30">
        <f t="shared" si="25"/>
        <v>9820.9970470776625</v>
      </c>
      <c r="W67" s="30">
        <f t="shared" si="26"/>
        <v>30759.290861803533</v>
      </c>
      <c r="X67" s="30">
        <f t="shared" si="27"/>
        <v>27184.963574141355</v>
      </c>
      <c r="Y67" s="30">
        <f t="shared" si="27"/>
        <v>53992.805373568932</v>
      </c>
      <c r="Z67" s="30">
        <f t="shared" si="28"/>
        <v>34552.451707544089</v>
      </c>
      <c r="AA67" s="30">
        <f t="shared" si="29"/>
        <v>5695.2374842983691</v>
      </c>
      <c r="AB67" s="27">
        <f t="shared" si="19"/>
        <v>413684.11515226413</v>
      </c>
      <c r="AC67" s="27">
        <f t="shared" si="30"/>
        <v>19989.660147121758</v>
      </c>
    </row>
    <row r="68" spans="5:29" x14ac:dyDescent="0.3">
      <c r="E68" s="28">
        <v>2043</v>
      </c>
      <c r="F68" s="28"/>
      <c r="G68" s="28"/>
      <c r="H68" s="30">
        <v>3000</v>
      </c>
      <c r="I68" s="30">
        <f t="shared" si="21"/>
        <v>8512.1653061995221</v>
      </c>
      <c r="J68" s="30">
        <f t="shared" si="17"/>
        <v>-5512.1653061995221</v>
      </c>
      <c r="K68" s="28"/>
      <c r="L68" s="28"/>
      <c r="M68" s="28"/>
      <c r="N68" s="28"/>
      <c r="O68" s="28"/>
      <c r="P68" s="30">
        <f t="shared" si="22"/>
        <v>4432.3663313671859</v>
      </c>
      <c r="Q68" s="30">
        <f t="shared" si="18"/>
        <v>-9944.531637566708</v>
      </c>
      <c r="R68" s="28"/>
      <c r="S68" s="30">
        <f t="shared" si="31"/>
        <v>93079.692958710948</v>
      </c>
      <c r="T68" s="28"/>
      <c r="U68" s="30">
        <f t="shared" si="24"/>
        <v>161904.53217318089</v>
      </c>
      <c r="V68" s="30">
        <f t="shared" si="25"/>
        <v>10066.521973254605</v>
      </c>
      <c r="W68" s="30">
        <f t="shared" si="26"/>
        <v>32451.051859202726</v>
      </c>
      <c r="X68" s="30">
        <f t="shared" ref="X68:Y83" si="32">X67+X67*$C$17+L67</f>
        <v>28680.136570719129</v>
      </c>
      <c r="Y68" s="30">
        <f t="shared" si="32"/>
        <v>56962.409669115223</v>
      </c>
      <c r="Z68" s="30">
        <f t="shared" si="28"/>
        <v>36346.415000199777</v>
      </c>
      <c r="AA68" s="30">
        <f t="shared" si="29"/>
        <v>5979.9993585132879</v>
      </c>
      <c r="AB68" s="27">
        <f t="shared" si="19"/>
        <v>425470.75956289656</v>
      </c>
      <c r="AC68" s="27">
        <f t="shared" si="30"/>
        <v>11786.644410632434</v>
      </c>
    </row>
    <row r="69" spans="5:29" x14ac:dyDescent="0.3">
      <c r="E69" s="28">
        <v>2044</v>
      </c>
      <c r="F69" s="28"/>
      <c r="G69" s="28"/>
      <c r="H69" s="30">
        <v>3000</v>
      </c>
      <c r="I69" s="30">
        <f t="shared" si="21"/>
        <v>8767.5302653855088</v>
      </c>
      <c r="J69" s="30">
        <f t="shared" si="17"/>
        <v>-5767.5302653855088</v>
      </c>
      <c r="K69" s="28"/>
      <c r="L69" s="28"/>
      <c r="M69" s="28"/>
      <c r="N69" s="28"/>
      <c r="O69" s="28"/>
      <c r="P69" s="30">
        <f t="shared" si="22"/>
        <v>0</v>
      </c>
      <c r="Q69" s="30">
        <f t="shared" si="18"/>
        <v>-5767.5302653855088</v>
      </c>
      <c r="R69" s="28"/>
      <c r="S69" s="30">
        <f t="shared" si="31"/>
        <v>93079.692958710948</v>
      </c>
      <c r="T69" s="28"/>
      <c r="U69" s="30">
        <f t="shared" si="24"/>
        <v>156069.13756216949</v>
      </c>
      <c r="V69" s="30">
        <f t="shared" si="25"/>
        <v>10318.185022585971</v>
      </c>
      <c r="W69" s="30">
        <f t="shared" si="26"/>
        <v>34235.859711458877</v>
      </c>
      <c r="X69" s="30">
        <f t="shared" si="32"/>
        <v>30257.544082108681</v>
      </c>
      <c r="Y69" s="30">
        <f t="shared" si="32"/>
        <v>60095.342200916559</v>
      </c>
      <c r="Z69" s="30">
        <f t="shared" si="28"/>
        <v>38233.520867010149</v>
      </c>
      <c r="AA69" s="30">
        <f t="shared" si="29"/>
        <v>6278.9993264389523</v>
      </c>
      <c r="AB69" s="27">
        <f t="shared" si="19"/>
        <v>428568.28173139965</v>
      </c>
      <c r="AC69" s="27">
        <f t="shared" si="30"/>
        <v>3097.5221685030847</v>
      </c>
    </row>
    <row r="70" spans="5:29" x14ac:dyDescent="0.3">
      <c r="E70" s="28">
        <v>2045</v>
      </c>
      <c r="F70" s="28"/>
      <c r="G70" s="28"/>
      <c r="H70" s="30">
        <v>3000</v>
      </c>
      <c r="I70" s="30">
        <f t="shared" si="21"/>
        <v>9030.5561733470749</v>
      </c>
      <c r="J70" s="30">
        <f t="shared" si="17"/>
        <v>-6030.5561733470749</v>
      </c>
      <c r="K70" s="28"/>
      <c r="L70" s="28"/>
      <c r="M70" s="28"/>
      <c r="N70" s="28"/>
      <c r="O70" s="28"/>
      <c r="P70" s="30">
        <f t="shared" si="22"/>
        <v>4653.9846479355474</v>
      </c>
      <c r="Q70" s="30">
        <f t="shared" si="18"/>
        <v>-10684.540821282622</v>
      </c>
      <c r="R70" s="28"/>
      <c r="S70" s="30">
        <f t="shared" si="31"/>
        <v>97733.677606646495</v>
      </c>
      <c r="T70" s="28"/>
      <c r="U70" s="30">
        <f t="shared" si="24"/>
        <v>154262.64200811184</v>
      </c>
      <c r="V70" s="30">
        <f t="shared" si="25"/>
        <v>10576.13964815062</v>
      </c>
      <c r="W70" s="30">
        <f t="shared" si="26"/>
        <v>36118.831995589113</v>
      </c>
      <c r="X70" s="30">
        <f t="shared" si="32"/>
        <v>31921.70900662466</v>
      </c>
      <c r="Y70" s="30">
        <f t="shared" si="32"/>
        <v>63400.58602196697</v>
      </c>
      <c r="Z70" s="30">
        <f t="shared" si="28"/>
        <v>40218.605270425316</v>
      </c>
      <c r="AA70" s="30">
        <f t="shared" si="29"/>
        <v>6592.9492927608999</v>
      </c>
      <c r="AB70" s="27">
        <f t="shared" si="19"/>
        <v>440825.14085027599</v>
      </c>
      <c r="AC70" s="27">
        <f t="shared" si="30"/>
        <v>12256.859118876338</v>
      </c>
    </row>
    <row r="71" spans="5:29" x14ac:dyDescent="0.3">
      <c r="E71" s="28">
        <v>2046</v>
      </c>
      <c r="F71" s="28"/>
      <c r="G71" s="28"/>
      <c r="H71" s="30">
        <v>3000</v>
      </c>
      <c r="I71" s="30">
        <f t="shared" si="21"/>
        <v>9301.4728585474877</v>
      </c>
      <c r="J71" s="30">
        <f t="shared" si="17"/>
        <v>-6301.4728585474877</v>
      </c>
      <c r="K71" s="28"/>
      <c r="L71" s="28"/>
      <c r="M71" s="28"/>
      <c r="N71" s="28"/>
      <c r="O71" s="28"/>
      <c r="P71" s="30">
        <f t="shared" si="22"/>
        <v>0</v>
      </c>
      <c r="Q71" s="30">
        <f t="shared" si="18"/>
        <v>-6301.4728585474877</v>
      </c>
      <c r="R71" s="28"/>
      <c r="S71" s="30">
        <f t="shared" si="31"/>
        <v>97733.677606646495</v>
      </c>
      <c r="T71" s="28"/>
      <c r="U71" s="30">
        <f t="shared" si="24"/>
        <v>147493.28704099508</v>
      </c>
      <c r="V71" s="30">
        <f t="shared" si="25"/>
        <v>10840.543139354386</v>
      </c>
      <c r="W71" s="30">
        <f t="shared" si="26"/>
        <v>38105.367755346517</v>
      </c>
      <c r="X71" s="30">
        <f t="shared" si="32"/>
        <v>33677.40300198902</v>
      </c>
      <c r="Y71" s="30">
        <f t="shared" si="32"/>
        <v>66887.618253175155</v>
      </c>
      <c r="Z71" s="30">
        <f t="shared" si="28"/>
        <v>42306.7552560658</v>
      </c>
      <c r="AA71" s="30">
        <f t="shared" si="29"/>
        <v>6922.5967573989446</v>
      </c>
      <c r="AB71" s="27">
        <f t="shared" si="19"/>
        <v>443967.24881097139</v>
      </c>
      <c r="AC71" s="27">
        <f t="shared" si="30"/>
        <v>3142.1079606954008</v>
      </c>
    </row>
    <row r="72" spans="5:29" x14ac:dyDescent="0.3">
      <c r="E72" s="28">
        <v>2047</v>
      </c>
      <c r="F72" s="28"/>
      <c r="G72" s="28"/>
      <c r="H72" s="30">
        <v>3000</v>
      </c>
      <c r="I72" s="30">
        <f t="shared" si="21"/>
        <v>9580.5170443039133</v>
      </c>
      <c r="J72" s="30">
        <f t="shared" si="17"/>
        <v>-6580.5170443039133</v>
      </c>
      <c r="K72" s="28"/>
      <c r="L72" s="28"/>
      <c r="M72" s="28"/>
      <c r="N72" s="28"/>
      <c r="O72" s="28"/>
      <c r="P72" s="30">
        <f t="shared" si="22"/>
        <v>4886.6838803323335</v>
      </c>
      <c r="Q72" s="30">
        <f t="shared" si="18"/>
        <v>-11467.200924636247</v>
      </c>
      <c r="R72" s="28"/>
      <c r="S72" s="30">
        <f t="shared" si="31"/>
        <v>102620.36148697883</v>
      </c>
      <c r="T72" s="28"/>
      <c r="U72" s="30">
        <f t="shared" si="24"/>
        <v>144935.19380754803</v>
      </c>
      <c r="V72" s="30">
        <f t="shared" si="25"/>
        <v>11111.556717838246</v>
      </c>
      <c r="W72" s="30">
        <f t="shared" si="26"/>
        <v>40201.162981890579</v>
      </c>
      <c r="X72" s="30">
        <f t="shared" si="32"/>
        <v>35529.660167098416</v>
      </c>
      <c r="Y72" s="30">
        <f t="shared" si="32"/>
        <v>70566.437257099795</v>
      </c>
      <c r="Z72" s="30">
        <f t="shared" si="28"/>
        <v>44503.321988960735</v>
      </c>
      <c r="AA72" s="30">
        <f t="shared" si="29"/>
        <v>7268.7265952688922</v>
      </c>
      <c r="AB72" s="27">
        <f t="shared" si="19"/>
        <v>456736.42100268346</v>
      </c>
      <c r="AC72" s="27">
        <f t="shared" si="30"/>
        <v>12769.172191712074</v>
      </c>
    </row>
    <row r="73" spans="5:29" x14ac:dyDescent="0.3">
      <c r="E73" s="28">
        <v>2048</v>
      </c>
      <c r="F73" s="28" t="s">
        <v>51</v>
      </c>
      <c r="G73" s="28"/>
      <c r="H73" s="30">
        <v>3000</v>
      </c>
      <c r="I73" s="30">
        <f t="shared" si="21"/>
        <v>9867.9325556330314</v>
      </c>
      <c r="J73" s="30">
        <f t="shared" si="17"/>
        <v>-6867.9325556330314</v>
      </c>
      <c r="K73" s="28"/>
      <c r="L73" s="28"/>
      <c r="M73" s="28"/>
      <c r="N73" s="28"/>
      <c r="O73" s="28"/>
      <c r="P73" s="30">
        <f t="shared" si="22"/>
        <v>0</v>
      </c>
      <c r="Q73" s="30">
        <f t="shared" si="18"/>
        <v>-6867.9325556330314</v>
      </c>
      <c r="R73" s="28"/>
      <c r="S73" s="30">
        <f t="shared" si="31"/>
        <v>102620.36148697883</v>
      </c>
      <c r="T73" s="28"/>
      <c r="U73" s="30">
        <f t="shared" si="24"/>
        <v>137146.44810174734</v>
      </c>
      <c r="V73" s="30">
        <f t="shared" si="25"/>
        <v>11389.345635784202</v>
      </c>
      <c r="W73" s="30">
        <f t="shared" si="26"/>
        <v>42412.226945894559</v>
      </c>
      <c r="X73" s="30">
        <f t="shared" si="32"/>
        <v>37483.791476288832</v>
      </c>
      <c r="Y73" s="30">
        <f t="shared" si="32"/>
        <v>74447.591306240283</v>
      </c>
      <c r="Z73" s="30">
        <f t="shared" si="28"/>
        <v>46813.934466627579</v>
      </c>
      <c r="AA73" s="30">
        <f t="shared" si="29"/>
        <v>7632.1629250323367</v>
      </c>
      <c r="AB73" s="27">
        <f t="shared" si="19"/>
        <v>459945.86234459397</v>
      </c>
      <c r="AC73" s="27">
        <f t="shared" si="30"/>
        <v>3209.4413419105113</v>
      </c>
    </row>
    <row r="74" spans="5:29" x14ac:dyDescent="0.3">
      <c r="E74" s="28">
        <v>2049</v>
      </c>
      <c r="F74" s="28"/>
      <c r="G74" s="28"/>
      <c r="H74" s="30">
        <v>3000</v>
      </c>
      <c r="I74" s="30">
        <f t="shared" si="21"/>
        <v>10163.970532302023</v>
      </c>
      <c r="J74" s="30">
        <f t="shared" si="17"/>
        <v>-7163.9705323020225</v>
      </c>
      <c r="K74" s="28"/>
      <c r="L74" s="28"/>
      <c r="M74" s="28"/>
      <c r="N74" s="28"/>
      <c r="O74" s="28"/>
      <c r="P74" s="30">
        <f t="shared" si="22"/>
        <v>5131.0180743489473</v>
      </c>
      <c r="Q74" s="30">
        <f t="shared" si="18"/>
        <v>-12294.98860665097</v>
      </c>
      <c r="R74" s="28"/>
      <c r="S74" s="30">
        <f t="shared" si="31"/>
        <v>107751.37956132778</v>
      </c>
      <c r="T74" s="28"/>
      <c r="U74" s="30">
        <f t="shared" si="24"/>
        <v>133759.29239893664</v>
      </c>
      <c r="V74" s="30">
        <f t="shared" si="25"/>
        <v>11674.079276678807</v>
      </c>
      <c r="W74" s="30">
        <f t="shared" si="26"/>
        <v>44744.899427918761</v>
      </c>
      <c r="X74" s="30">
        <f t="shared" si="32"/>
        <v>39545.400007484721</v>
      </c>
      <c r="Y74" s="30">
        <f t="shared" si="32"/>
        <v>78542.208828083501</v>
      </c>
      <c r="Z74" s="30">
        <f t="shared" si="28"/>
        <v>49244.51394413488</v>
      </c>
      <c r="AA74" s="30">
        <f t="shared" si="29"/>
        <v>8013.7710712839535</v>
      </c>
      <c r="AB74" s="27">
        <f t="shared" si="19"/>
        <v>473275.54451584903</v>
      </c>
      <c r="AC74" s="27">
        <f t="shared" si="30"/>
        <v>13329.682171255059</v>
      </c>
    </row>
    <row r="75" spans="5:29" x14ac:dyDescent="0.3">
      <c r="E75" s="28">
        <v>2050</v>
      </c>
      <c r="F75" s="28"/>
      <c r="G75" s="28"/>
      <c r="H75" s="30">
        <v>3000</v>
      </c>
      <c r="I75" s="30">
        <f t="shared" si="21"/>
        <v>10468.889648271084</v>
      </c>
      <c r="J75" s="30">
        <f t="shared" si="17"/>
        <v>-7468.8896482710843</v>
      </c>
      <c r="K75" s="28"/>
      <c r="L75" s="28"/>
      <c r="M75" s="28"/>
      <c r="N75" s="28"/>
      <c r="O75" s="28"/>
      <c r="P75" s="30">
        <f t="shared" si="22"/>
        <v>0</v>
      </c>
      <c r="Q75" s="30">
        <f t="shared" si="18"/>
        <v>-7468.8896482710843</v>
      </c>
      <c r="R75" s="28"/>
      <c r="S75" s="30">
        <f t="shared" si="31"/>
        <v>107751.37956132778</v>
      </c>
      <c r="T75" s="28"/>
      <c r="U75" s="30">
        <f t="shared" si="24"/>
        <v>124859.11463337069</v>
      </c>
      <c r="V75" s="30">
        <f t="shared" si="25"/>
        <v>11965.931258595778</v>
      </c>
      <c r="W75" s="30">
        <f t="shared" si="26"/>
        <v>47205.868896454296</v>
      </c>
      <c r="X75" s="30">
        <f t="shared" si="32"/>
        <v>41720.397007896383</v>
      </c>
      <c r="Y75" s="30">
        <f t="shared" si="32"/>
        <v>82862.0303136281</v>
      </c>
      <c r="Z75" s="30">
        <f t="shared" si="28"/>
        <v>51801.289108114361</v>
      </c>
      <c r="AA75" s="30">
        <f t="shared" si="29"/>
        <v>8414.4596248481503</v>
      </c>
      <c r="AB75" s="27">
        <f t="shared" si="19"/>
        <v>476580.47040423553</v>
      </c>
      <c r="AC75" s="27">
        <f t="shared" si="30"/>
        <v>3304.9258883864968</v>
      </c>
    </row>
    <row r="76" spans="5:29" x14ac:dyDescent="0.3">
      <c r="E76" s="28">
        <v>2051</v>
      </c>
      <c r="F76" s="28"/>
      <c r="G76" s="28"/>
      <c r="H76" s="30">
        <v>3000</v>
      </c>
      <c r="I76" s="30">
        <f t="shared" si="21"/>
        <v>10782.956337719217</v>
      </c>
      <c r="J76" s="30">
        <f t="shared" si="17"/>
        <v>-7782.9563377192171</v>
      </c>
      <c r="K76" s="28"/>
      <c r="L76" s="28"/>
      <c r="M76" s="28"/>
      <c r="N76" s="28"/>
      <c r="O76" s="28"/>
      <c r="P76" s="30">
        <f t="shared" si="22"/>
        <v>5387.5689780663961</v>
      </c>
      <c r="Q76" s="30">
        <f t="shared" si="18"/>
        <v>-13170.525315785613</v>
      </c>
      <c r="R76" s="28"/>
      <c r="S76" s="30">
        <f t="shared" si="31"/>
        <v>113138.94853939417</v>
      </c>
      <c r="T76" s="28"/>
      <c r="U76" s="30">
        <f t="shared" si="24"/>
        <v>120559.14931449454</v>
      </c>
      <c r="V76" s="30">
        <f t="shared" si="25"/>
        <v>12265.079540060673</v>
      </c>
      <c r="W76" s="30">
        <f t="shared" si="26"/>
        <v>49802.191685759281</v>
      </c>
      <c r="X76" s="30">
        <f t="shared" si="32"/>
        <v>44015.018843330683</v>
      </c>
      <c r="Y76" s="30">
        <f t="shared" si="32"/>
        <v>87419.441980877644</v>
      </c>
      <c r="Z76" s="30">
        <f t="shared" si="28"/>
        <v>54490.812038607663</v>
      </c>
      <c r="AA76" s="30">
        <f t="shared" si="29"/>
        <v>8835.1826060905587</v>
      </c>
      <c r="AB76" s="27">
        <f t="shared" si="19"/>
        <v>490525.8245486152</v>
      </c>
      <c r="AC76" s="27">
        <f t="shared" si="30"/>
        <v>13945.354144379671</v>
      </c>
    </row>
    <row r="77" spans="5:29" x14ac:dyDescent="0.3">
      <c r="E77" s="28">
        <v>2052</v>
      </c>
      <c r="F77" s="28"/>
      <c r="G77" s="28"/>
      <c r="H77" s="30">
        <v>3000</v>
      </c>
      <c r="I77" s="30">
        <f t="shared" si="21"/>
        <v>11106.445027850794</v>
      </c>
      <c r="J77" s="30">
        <f t="shared" si="17"/>
        <v>-8106.4450278507938</v>
      </c>
      <c r="K77" s="28"/>
      <c r="L77" s="28"/>
      <c r="M77" s="28"/>
      <c r="N77" s="28"/>
      <c r="O77" s="28"/>
      <c r="P77" s="30">
        <f t="shared" si="22"/>
        <v>0</v>
      </c>
      <c r="Q77" s="30">
        <f t="shared" si="18"/>
        <v>-8106.4450278507938</v>
      </c>
      <c r="R77" s="28"/>
      <c r="S77" s="30">
        <f t="shared" si="31"/>
        <v>113138.94853939417</v>
      </c>
      <c r="T77" s="28"/>
      <c r="U77" s="30">
        <f t="shared" si="24"/>
        <v>110448.41520831079</v>
      </c>
      <c r="V77" s="30">
        <f t="shared" si="25"/>
        <v>12571.70652856219</v>
      </c>
      <c r="W77" s="30">
        <f t="shared" si="26"/>
        <v>52541.312228476039</v>
      </c>
      <c r="X77" s="30">
        <f t="shared" si="32"/>
        <v>46435.84487971387</v>
      </c>
      <c r="Y77" s="30">
        <f t="shared" si="32"/>
        <v>92227.51128982591</v>
      </c>
      <c r="Z77" s="30">
        <f t="shared" si="28"/>
        <v>57319.974999652171</v>
      </c>
      <c r="AA77" s="30">
        <f t="shared" si="29"/>
        <v>9276.941736395087</v>
      </c>
      <c r="AB77" s="27">
        <f t="shared" si="19"/>
        <v>493960.65541033016</v>
      </c>
      <c r="AC77" s="27">
        <f t="shared" si="30"/>
        <v>3434.8308617149596</v>
      </c>
    </row>
    <row r="78" spans="5:29" x14ac:dyDescent="0.3">
      <c r="E78" s="28">
        <v>2053</v>
      </c>
      <c r="F78" s="28"/>
      <c r="G78" s="28"/>
      <c r="H78" s="30">
        <v>3000</v>
      </c>
      <c r="I78" s="30">
        <f t="shared" si="21"/>
        <v>11439.638378686317</v>
      </c>
      <c r="J78" s="30">
        <f t="shared" si="17"/>
        <v>-8439.6383786863171</v>
      </c>
      <c r="K78" s="28"/>
      <c r="L78" s="28"/>
      <c r="M78" s="28"/>
      <c r="N78" s="28"/>
      <c r="O78" s="28"/>
      <c r="P78" s="30">
        <f t="shared" si="22"/>
        <v>5656.9474269697093</v>
      </c>
      <c r="Q78" s="30">
        <f t="shared" si="18"/>
        <v>-14096.585805656026</v>
      </c>
      <c r="R78" s="28"/>
      <c r="S78" s="30">
        <f t="shared" si="31"/>
        <v>118795.89596636388</v>
      </c>
      <c r="T78" s="28"/>
      <c r="U78" s="30">
        <f t="shared" si="24"/>
        <v>105145.15095844693</v>
      </c>
      <c r="V78" s="30">
        <f t="shared" si="25"/>
        <v>12885.999191776245</v>
      </c>
      <c r="W78" s="30">
        <f t="shared" si="26"/>
        <v>55431.084401042222</v>
      </c>
      <c r="X78" s="30">
        <f t="shared" si="32"/>
        <v>48989.816348098131</v>
      </c>
      <c r="Y78" s="30">
        <f t="shared" si="32"/>
        <v>97300.024410766331</v>
      </c>
      <c r="Z78" s="30">
        <f t="shared" si="28"/>
        <v>60296.02810163411</v>
      </c>
      <c r="AA78" s="30">
        <f t="shared" si="29"/>
        <v>9740.7888232148416</v>
      </c>
      <c r="AB78" s="27">
        <f t="shared" si="19"/>
        <v>508584.78820134269</v>
      </c>
      <c r="AC78" s="27">
        <f t="shared" si="30"/>
        <v>14624.132791012526</v>
      </c>
    </row>
    <row r="79" spans="5:29" x14ac:dyDescent="0.3">
      <c r="E79" s="28">
        <v>2054</v>
      </c>
      <c r="F79" s="28"/>
      <c r="G79" s="28"/>
      <c r="H79" s="30">
        <v>3000</v>
      </c>
      <c r="I79" s="30">
        <f t="shared" si="21"/>
        <v>11782.827530046907</v>
      </c>
      <c r="J79" s="30">
        <f t="shared" si="17"/>
        <v>-8782.8275300469068</v>
      </c>
      <c r="K79" s="28"/>
      <c r="L79" s="28"/>
      <c r="M79" s="28"/>
      <c r="N79" s="28"/>
      <c r="O79" s="28"/>
      <c r="P79" s="30">
        <f t="shared" si="22"/>
        <v>0</v>
      </c>
      <c r="Q79" s="30">
        <f t="shared" si="18"/>
        <v>-8782.8275300469068</v>
      </c>
      <c r="R79" s="28"/>
      <c r="S79" s="30">
        <f t="shared" si="31"/>
        <v>118795.89596636388</v>
      </c>
      <c r="T79" s="28"/>
      <c r="U79" s="30">
        <f t="shared" si="24"/>
        <v>93717.149084116289</v>
      </c>
      <c r="V79" s="30">
        <f t="shared" si="25"/>
        <v>13208.149171570651</v>
      </c>
      <c r="W79" s="30">
        <f t="shared" si="26"/>
        <v>58479.794043099544</v>
      </c>
      <c r="X79" s="30">
        <f t="shared" si="32"/>
        <v>51684.256247243531</v>
      </c>
      <c r="Y79" s="30">
        <f t="shared" si="32"/>
        <v>102651.52575335848</v>
      </c>
      <c r="Z79" s="30">
        <f t="shared" si="28"/>
        <v>63426.597880670954</v>
      </c>
      <c r="AA79" s="30">
        <f t="shared" si="29"/>
        <v>10227.828264375583</v>
      </c>
      <c r="AB79" s="27">
        <f t="shared" si="19"/>
        <v>512191.19641079899</v>
      </c>
      <c r="AC79" s="27">
        <f t="shared" si="30"/>
        <v>3606.4082094563055</v>
      </c>
    </row>
    <row r="80" spans="5:29" x14ac:dyDescent="0.3">
      <c r="E80" s="28">
        <v>2055</v>
      </c>
      <c r="F80" s="28"/>
      <c r="G80" s="28"/>
      <c r="H80" s="30">
        <v>3000</v>
      </c>
      <c r="I80" s="30">
        <f t="shared" si="21"/>
        <v>12136.312355948314</v>
      </c>
      <c r="J80" s="30">
        <f t="shared" si="17"/>
        <v>-9136.3123559483138</v>
      </c>
      <c r="K80" s="28"/>
      <c r="L80" s="28"/>
      <c r="M80" s="28"/>
      <c r="N80" s="28"/>
      <c r="O80" s="28"/>
      <c r="P80" s="30">
        <f t="shared" si="22"/>
        <v>5939.7947983181948</v>
      </c>
      <c r="Q80" s="30">
        <f t="shared" si="18"/>
        <v>-15076.107154266509</v>
      </c>
      <c r="R80" s="28"/>
      <c r="S80" s="30">
        <f t="shared" si="31"/>
        <v>124735.69076468208</v>
      </c>
      <c r="T80" s="28"/>
      <c r="U80" s="30">
        <f t="shared" si="24"/>
        <v>87312.862797824244</v>
      </c>
      <c r="V80" s="30">
        <f t="shared" si="25"/>
        <v>13538.352900859916</v>
      </c>
      <c r="W80" s="30">
        <f t="shared" si="26"/>
        <v>61696.182715470022</v>
      </c>
      <c r="X80" s="30">
        <f t="shared" si="32"/>
        <v>54526.890340841928</v>
      </c>
      <c r="Y80" s="30">
        <f t="shared" si="32"/>
        <v>108297.35966979319</v>
      </c>
      <c r="Z80" s="30">
        <f t="shared" si="28"/>
        <v>66719.706842635394</v>
      </c>
      <c r="AA80" s="30">
        <f t="shared" si="29"/>
        <v>10739.219677594361</v>
      </c>
      <c r="AB80" s="27">
        <f t="shared" si="19"/>
        <v>527566.26570970111</v>
      </c>
      <c r="AC80" s="27">
        <f t="shared" si="30"/>
        <v>15375.069298902119</v>
      </c>
    </row>
    <row r="81" spans="5:29" x14ac:dyDescent="0.3">
      <c r="E81" s="28">
        <v>2056</v>
      </c>
      <c r="F81" s="28"/>
      <c r="G81" s="28"/>
      <c r="H81" s="30">
        <v>3000</v>
      </c>
      <c r="I81" s="30">
        <f t="shared" si="21"/>
        <v>12500.401726626764</v>
      </c>
      <c r="J81" s="30">
        <f t="shared" si="17"/>
        <v>-9500.4017266267638</v>
      </c>
      <c r="K81" s="28"/>
      <c r="L81" s="28"/>
      <c r="M81" s="28"/>
      <c r="N81" s="28"/>
      <c r="O81" s="28"/>
      <c r="P81" s="30">
        <f t="shared" si="22"/>
        <v>0</v>
      </c>
      <c r="Q81" s="30">
        <f t="shared" si="18"/>
        <v>-9500.4017266267638</v>
      </c>
      <c r="R81" s="28"/>
      <c r="S81" s="30">
        <f t="shared" si="31"/>
        <v>124735.69076468208</v>
      </c>
      <c r="T81" s="28"/>
      <c r="U81" s="30">
        <f t="shared" si="24"/>
        <v>74452.756101366511</v>
      </c>
      <c r="V81" s="30">
        <f t="shared" si="25"/>
        <v>13876.811723381414</v>
      </c>
      <c r="W81" s="30">
        <f t="shared" si="26"/>
        <v>65089.472764820872</v>
      </c>
      <c r="X81" s="30">
        <f t="shared" si="32"/>
        <v>57525.869309588234</v>
      </c>
      <c r="Y81" s="30">
        <f t="shared" si="32"/>
        <v>114253.71445163182</v>
      </c>
      <c r="Z81" s="30">
        <f t="shared" si="28"/>
        <v>70183.794021905022</v>
      </c>
      <c r="AA81" s="30">
        <f t="shared" si="29"/>
        <v>11276.18066147408</v>
      </c>
      <c r="AB81" s="27">
        <f t="shared" si="19"/>
        <v>531394.28979885008</v>
      </c>
      <c r="AC81" s="27">
        <f t="shared" si="30"/>
        <v>3828.0240891489666</v>
      </c>
    </row>
    <row r="82" spans="5:29" x14ac:dyDescent="0.3">
      <c r="E82" s="28">
        <v>2057</v>
      </c>
      <c r="F82" s="28"/>
      <c r="G82" s="28"/>
      <c r="H82" s="30">
        <v>3000</v>
      </c>
      <c r="I82" s="30">
        <f t="shared" si="21"/>
        <v>12875.413778425567</v>
      </c>
      <c r="J82" s="30">
        <f t="shared" si="17"/>
        <v>-9875.4137784255672</v>
      </c>
      <c r="K82" s="28"/>
      <c r="L82" s="28"/>
      <c r="M82" s="28"/>
      <c r="N82" s="28"/>
      <c r="O82" s="28"/>
      <c r="P82" s="30">
        <f t="shared" si="22"/>
        <v>6236.7845382341038</v>
      </c>
      <c r="Q82" s="30">
        <f t="shared" si="18"/>
        <v>-16112.198316659671</v>
      </c>
      <c r="R82" s="28"/>
      <c r="S82" s="30">
        <f t="shared" si="31"/>
        <v>130972.47530291618</v>
      </c>
      <c r="T82" s="28"/>
      <c r="U82" s="30">
        <f t="shared" si="24"/>
        <v>66841.965324592427</v>
      </c>
      <c r="V82" s="30">
        <f t="shared" si="25"/>
        <v>14223.732016465949</v>
      </c>
      <c r="W82" s="30">
        <f t="shared" si="26"/>
        <v>68669.393766886016</v>
      </c>
      <c r="X82" s="30">
        <f t="shared" si="32"/>
        <v>60689.792121615588</v>
      </c>
      <c r="Y82" s="30">
        <f t="shared" si="32"/>
        <v>120537.66874647158</v>
      </c>
      <c r="Z82" s="30">
        <f t="shared" si="28"/>
        <v>73827.736607522325</v>
      </c>
      <c r="AA82" s="30">
        <f t="shared" si="29"/>
        <v>11839.989694547783</v>
      </c>
      <c r="AB82" s="27">
        <f t="shared" si="19"/>
        <v>547602.75358101795</v>
      </c>
      <c r="AC82" s="27">
        <f t="shared" si="30"/>
        <v>16208.463782167877</v>
      </c>
    </row>
    <row r="83" spans="5:29" x14ac:dyDescent="0.3">
      <c r="E83" s="28">
        <v>2058</v>
      </c>
      <c r="F83" s="28"/>
      <c r="G83" s="28"/>
      <c r="H83" s="30">
        <v>3000</v>
      </c>
      <c r="I83" s="30">
        <f t="shared" si="21"/>
        <v>13261.676191778335</v>
      </c>
      <c r="J83" s="30">
        <f t="shared" si="17"/>
        <v>-10261.676191778335</v>
      </c>
      <c r="K83" s="28"/>
      <c r="L83" s="28"/>
      <c r="M83" s="28"/>
      <c r="N83" s="28"/>
      <c r="O83" s="28"/>
      <c r="P83" s="30">
        <f t="shared" si="22"/>
        <v>0</v>
      </c>
      <c r="Q83" s="30">
        <f t="shared" si="18"/>
        <v>-10261.676191778335</v>
      </c>
      <c r="R83" s="28"/>
      <c r="S83" s="30">
        <f t="shared" si="31"/>
        <v>130972.47530291618</v>
      </c>
      <c r="T83" s="28"/>
      <c r="U83" s="30">
        <f t="shared" si="24"/>
        <v>52426.216087870918</v>
      </c>
      <c r="V83" s="30">
        <f t="shared" si="25"/>
        <v>14579.325316877597</v>
      </c>
      <c r="W83" s="30">
        <f t="shared" si="26"/>
        <v>72446.210424064746</v>
      </c>
      <c r="X83" s="30">
        <f t="shared" si="32"/>
        <v>64027.730688304444</v>
      </c>
      <c r="Y83" s="30">
        <f t="shared" si="32"/>
        <v>127167.24052752752</v>
      </c>
      <c r="Z83" s="30">
        <f t="shared" si="28"/>
        <v>77660.872692184887</v>
      </c>
      <c r="AA83" s="30">
        <f t="shared" si="29"/>
        <v>12431.989179275171</v>
      </c>
      <c r="AB83" s="27">
        <f t="shared" si="19"/>
        <v>551712.06021902151</v>
      </c>
      <c r="AC83" s="27">
        <f t="shared" si="30"/>
        <v>4109.3066380035598</v>
      </c>
    </row>
    <row r="84" spans="5:29" x14ac:dyDescent="0.3">
      <c r="E84" s="28">
        <v>2059</v>
      </c>
      <c r="F84" s="28"/>
      <c r="G84" s="28"/>
      <c r="H84" s="30">
        <v>3000</v>
      </c>
      <c r="I84" s="30">
        <f t="shared" si="21"/>
        <v>13659.526477531686</v>
      </c>
      <c r="J84" s="30">
        <f t="shared" si="17"/>
        <v>-10659.526477531686</v>
      </c>
      <c r="K84" s="28"/>
      <c r="L84" s="28"/>
      <c r="M84" s="28"/>
      <c r="N84" s="28"/>
      <c r="O84" s="28"/>
      <c r="P84" s="30">
        <f t="shared" si="22"/>
        <v>6548.6237651458214</v>
      </c>
      <c r="Q84" s="30">
        <f t="shared" si="18"/>
        <v>-17208.150242677508</v>
      </c>
      <c r="R84" s="28"/>
      <c r="S84" s="30">
        <f t="shared" si="31"/>
        <v>137521.099068062</v>
      </c>
      <c r="T84" s="28"/>
      <c r="U84" s="30">
        <f t="shared" si="24"/>
        <v>43495.117260402745</v>
      </c>
      <c r="V84" s="30">
        <f t="shared" si="25"/>
        <v>14943.808449799537</v>
      </c>
      <c r="W84" s="30">
        <f t="shared" si="26"/>
        <v>76430.751997388303</v>
      </c>
      <c r="X84" s="30">
        <f t="shared" ref="X84:Y90" si="33">X83+X83*$C$17+L83</f>
        <v>67549.255876161187</v>
      </c>
      <c r="Y84" s="30">
        <f t="shared" si="33"/>
        <v>134161.43875654152</v>
      </c>
      <c r="Z84" s="30">
        <f t="shared" si="28"/>
        <v>81693.025202363133</v>
      </c>
      <c r="AA84" s="30">
        <f t="shared" si="29"/>
        <v>13053.588638238931</v>
      </c>
      <c r="AB84" s="27">
        <f t="shared" si="19"/>
        <v>568848.08524895739</v>
      </c>
      <c r="AC84" s="27">
        <f t="shared" si="30"/>
        <v>17136.025029935874</v>
      </c>
    </row>
    <row r="85" spans="5:29" x14ac:dyDescent="0.3">
      <c r="E85" s="28">
        <v>2060</v>
      </c>
      <c r="F85" s="28"/>
      <c r="G85" s="28"/>
      <c r="H85" s="30">
        <v>3000</v>
      </c>
      <c r="I85" s="30">
        <f t="shared" si="21"/>
        <v>14069.312271857638</v>
      </c>
      <c r="J85" s="30">
        <f t="shared" si="17"/>
        <v>-11069.312271857638</v>
      </c>
      <c r="K85" s="28"/>
      <c r="L85" s="28"/>
      <c r="M85" s="28"/>
      <c r="N85" s="28"/>
      <c r="O85" s="28"/>
      <c r="P85" s="30">
        <f t="shared" si="22"/>
        <v>0</v>
      </c>
      <c r="Q85" s="30">
        <f t="shared" si="18"/>
        <v>-11069.312271857638</v>
      </c>
      <c r="R85" s="28"/>
      <c r="S85" s="30">
        <f t="shared" si="31"/>
        <v>137521.099068062</v>
      </c>
      <c r="T85" s="28"/>
      <c r="U85" s="30">
        <f t="shared" si="24"/>
        <v>27390.873093794256</v>
      </c>
      <c r="V85" s="30">
        <f t="shared" si="25"/>
        <v>15317.403661044526</v>
      </c>
      <c r="W85" s="30">
        <f t="shared" si="26"/>
        <v>80634.443357244658</v>
      </c>
      <c r="X85" s="30">
        <f t="shared" si="33"/>
        <v>71264.464949350047</v>
      </c>
      <c r="Y85" s="30">
        <f t="shared" si="33"/>
        <v>141540.3178881513</v>
      </c>
      <c r="Z85" s="30">
        <f t="shared" si="28"/>
        <v>85934.527070869823</v>
      </c>
      <c r="AA85" s="30">
        <f t="shared" si="29"/>
        <v>13706.268070150878</v>
      </c>
      <c r="AB85" s="27">
        <f t="shared" si="19"/>
        <v>573309.39715866745</v>
      </c>
      <c r="AC85" s="27">
        <f t="shared" si="30"/>
        <v>4461.3119097100571</v>
      </c>
    </row>
    <row r="86" spans="5:29" x14ac:dyDescent="0.3">
      <c r="E86" s="28">
        <v>2061</v>
      </c>
      <c r="F86" s="28"/>
      <c r="G86" s="28"/>
      <c r="H86" s="30">
        <v>3000</v>
      </c>
      <c r="I86" s="30">
        <f t="shared" si="21"/>
        <v>14491.391640013368</v>
      </c>
      <c r="J86" s="30">
        <f t="shared" si="17"/>
        <v>-11491.391640013368</v>
      </c>
      <c r="K86" s="28"/>
      <c r="L86" s="28"/>
      <c r="M86" s="28"/>
      <c r="N86" s="28"/>
      <c r="O86" s="28"/>
      <c r="P86" s="30">
        <f t="shared" si="22"/>
        <v>6876.0549534031015</v>
      </c>
      <c r="Q86" s="30">
        <f t="shared" si="18"/>
        <v>-18367.446593416469</v>
      </c>
      <c r="R86" s="28"/>
      <c r="S86" s="30">
        <f t="shared" si="31"/>
        <v>144397.1540214651</v>
      </c>
      <c r="T86" s="28"/>
      <c r="U86" s="30">
        <f t="shared" si="24"/>
        <v>17016.741181057114</v>
      </c>
      <c r="V86" s="30">
        <f t="shared" si="25"/>
        <v>15700.338752570638</v>
      </c>
      <c r="W86" s="30">
        <f t="shared" si="26"/>
        <v>85069.33774189312</v>
      </c>
      <c r="X86" s="30">
        <f t="shared" si="33"/>
        <v>75184.010521564298</v>
      </c>
      <c r="Y86" s="30">
        <f t="shared" si="33"/>
        <v>149325.03537199963</v>
      </c>
      <c r="Z86" s="30">
        <f t="shared" si="28"/>
        <v>90396.247716389378</v>
      </c>
      <c r="AA86" s="30">
        <f t="shared" si="29"/>
        <v>14391.581473658422</v>
      </c>
      <c r="AB86" s="27">
        <f t="shared" si="19"/>
        <v>591480.44678059767</v>
      </c>
      <c r="AC86" s="27">
        <f t="shared" si="30"/>
        <v>18171.049621930229</v>
      </c>
    </row>
    <row r="87" spans="5:29" x14ac:dyDescent="0.3">
      <c r="E87" s="28">
        <v>2062</v>
      </c>
      <c r="H87" s="30">
        <v>3000</v>
      </c>
      <c r="I87" s="30">
        <f t="shared" si="21"/>
        <v>14926.133389213768</v>
      </c>
      <c r="J87" s="30">
        <f t="shared" si="17"/>
        <v>-11926.133389213768</v>
      </c>
      <c r="K87" s="28"/>
      <c r="L87" s="28"/>
      <c r="M87" s="28"/>
      <c r="N87" s="28"/>
      <c r="O87" s="28"/>
      <c r="P87" s="30">
        <f t="shared" si="22"/>
        <v>0</v>
      </c>
      <c r="Q87" s="30">
        <f t="shared" si="18"/>
        <v>-11926.133389213768</v>
      </c>
      <c r="R87" s="28"/>
      <c r="S87" s="30">
        <f t="shared" si="31"/>
        <v>144397.1540214651</v>
      </c>
      <c r="T87" s="28"/>
      <c r="U87" s="30">
        <f t="shared" si="24"/>
        <v>-918.82052118412685</v>
      </c>
      <c r="V87" s="30">
        <f t="shared" si="25"/>
        <v>16092.847221384904</v>
      </c>
      <c r="W87" s="30">
        <f t="shared" si="26"/>
        <v>89748.151317697237</v>
      </c>
      <c r="X87" s="30">
        <f t="shared" si="33"/>
        <v>79319.131100250335</v>
      </c>
      <c r="Y87" s="30">
        <f t="shared" si="33"/>
        <v>157537.91231745962</v>
      </c>
      <c r="Z87" s="30">
        <f t="shared" si="28"/>
        <v>95089.620897824323</v>
      </c>
      <c r="AA87" s="30">
        <f t="shared" si="29"/>
        <v>15111.160547341342</v>
      </c>
      <c r="AB87" s="27">
        <f t="shared" si="19"/>
        <v>596377.15690223873</v>
      </c>
      <c r="AC87" s="27">
        <f t="shared" si="30"/>
        <v>4896.710121641052</v>
      </c>
    </row>
    <row r="88" spans="5:29" x14ac:dyDescent="0.3">
      <c r="E88" s="28">
        <v>2063</v>
      </c>
      <c r="H88" s="30">
        <v>3000</v>
      </c>
      <c r="I88" s="30">
        <f t="shared" si="21"/>
        <v>15373.917390890181</v>
      </c>
      <c r="J88" s="30">
        <f t="shared" si="17"/>
        <v>-12373.917390890181</v>
      </c>
      <c r="K88" s="28"/>
      <c r="L88" s="28"/>
      <c r="M88" s="28"/>
      <c r="N88" s="28"/>
      <c r="O88" s="28"/>
      <c r="P88" s="30">
        <f t="shared" si="22"/>
        <v>7219.8577010732552</v>
      </c>
      <c r="Q88" s="30">
        <f t="shared" si="18"/>
        <v>-19593.775091963435</v>
      </c>
      <c r="R88" s="28"/>
      <c r="S88" s="30">
        <f t="shared" si="31"/>
        <v>151617.01172253836</v>
      </c>
      <c r="T88" s="28"/>
      <c r="U88" s="30">
        <f t="shared" si="24"/>
        <v>-12844.953910397895</v>
      </c>
      <c r="V88" s="30">
        <f t="shared" si="25"/>
        <v>16495.168401919527</v>
      </c>
      <c r="W88" s="30">
        <f t="shared" si="26"/>
        <v>94684.29964017059</v>
      </c>
      <c r="X88" s="30">
        <f t="shared" si="33"/>
        <v>83681.6833107641</v>
      </c>
      <c r="Y88" s="30">
        <f t="shared" si="33"/>
        <v>166202.49749491989</v>
      </c>
      <c r="Z88" s="30">
        <f t="shared" si="28"/>
        <v>100026.67401483936</v>
      </c>
      <c r="AA88" s="30">
        <f t="shared" si="29"/>
        <v>15866.71857470841</v>
      </c>
      <c r="AB88" s="27">
        <f t="shared" si="19"/>
        <v>615729.09924946236</v>
      </c>
      <c r="AC88" s="27">
        <f t="shared" si="30"/>
        <v>19351.942347223638</v>
      </c>
    </row>
    <row r="89" spans="5:29" x14ac:dyDescent="0.3">
      <c r="E89" s="28">
        <v>2064</v>
      </c>
      <c r="H89" s="30">
        <v>3000</v>
      </c>
      <c r="I89" s="30">
        <f t="shared" si="21"/>
        <v>15835.134912616886</v>
      </c>
      <c r="J89" s="30">
        <f t="shared" si="17"/>
        <v>-12835.134912616886</v>
      </c>
      <c r="K89" s="28"/>
      <c r="L89" s="28"/>
      <c r="M89" s="28"/>
      <c r="N89" s="28"/>
      <c r="O89" s="28"/>
      <c r="P89" s="30">
        <f t="shared" si="22"/>
        <v>0</v>
      </c>
      <c r="Q89" s="30">
        <f t="shared" si="18"/>
        <v>-12835.134912616886</v>
      </c>
      <c r="R89" s="28"/>
      <c r="S89" s="30">
        <f t="shared" si="31"/>
        <v>151617.01172253836</v>
      </c>
      <c r="T89" s="28"/>
      <c r="U89" s="30">
        <f t="shared" si="24"/>
        <v>-32438.729002361331</v>
      </c>
      <c r="V89" s="30">
        <f t="shared" si="25"/>
        <v>16907.547611967515</v>
      </c>
      <c r="W89" s="30">
        <f t="shared" si="26"/>
        <v>99891.936120379978</v>
      </c>
      <c r="X89" s="30">
        <f t="shared" si="33"/>
        <v>88284.175892856132</v>
      </c>
      <c r="Y89" s="30">
        <f t="shared" si="33"/>
        <v>175343.63485714048</v>
      </c>
      <c r="Z89" s="30">
        <f t="shared" si="28"/>
        <v>105220.05892968983</v>
      </c>
      <c r="AA89" s="30">
        <f t="shared" si="29"/>
        <v>16660.054503443829</v>
      </c>
      <c r="AB89" s="27">
        <f t="shared" si="19"/>
        <v>621485.69063565484</v>
      </c>
      <c r="AC89" s="27">
        <f t="shared" si="30"/>
        <v>5756.5913861924782</v>
      </c>
    </row>
    <row r="90" spans="5:29" x14ac:dyDescent="0.3">
      <c r="E90" s="28">
        <v>2065</v>
      </c>
      <c r="H90" s="30">
        <v>3000</v>
      </c>
      <c r="I90" s="30">
        <f t="shared" si="21"/>
        <v>16310.188959995394</v>
      </c>
      <c r="J90" s="30">
        <f t="shared" si="17"/>
        <v>-13310.188959995394</v>
      </c>
      <c r="K90" s="28"/>
      <c r="L90" s="28"/>
      <c r="M90" s="28"/>
      <c r="N90" s="28"/>
      <c r="O90" s="28"/>
      <c r="P90" s="30">
        <f t="shared" si="22"/>
        <v>7580.8505861269368</v>
      </c>
      <c r="Q90" s="30">
        <f t="shared" si="18"/>
        <v>-20891.039546122331</v>
      </c>
      <c r="R90" s="28"/>
      <c r="S90" s="30">
        <f t="shared" si="31"/>
        <v>159197.8623086653</v>
      </c>
      <c r="T90" s="28"/>
      <c r="U90" s="30">
        <f t="shared" si="24"/>
        <v>-45273.863914978218</v>
      </c>
      <c r="V90" s="30">
        <f t="shared" si="25"/>
        <v>17330.236302266701</v>
      </c>
      <c r="W90" s="30">
        <f t="shared" si="26"/>
        <v>105385.99260700088</v>
      </c>
      <c r="X90" s="30">
        <f t="shared" si="33"/>
        <v>93139.805566963216</v>
      </c>
      <c r="Y90" s="30">
        <f t="shared" si="33"/>
        <v>184987.53477428321</v>
      </c>
      <c r="Z90" s="30">
        <f t="shared" si="28"/>
        <v>110683.08438931932</v>
      </c>
      <c r="AA90" s="30">
        <f t="shared" si="29"/>
        <v>17493.05722861602</v>
      </c>
      <c r="AB90" s="27">
        <f t="shared" si="19"/>
        <v>642943.70926213637</v>
      </c>
      <c r="AC90" s="27">
        <f t="shared" si="30"/>
        <v>21458.018626481527</v>
      </c>
    </row>
    <row r="93" spans="5:29" x14ac:dyDescent="0.3">
      <c r="E93" s="55" t="s">
        <v>76</v>
      </c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7"/>
    </row>
    <row r="94" spans="5:29" x14ac:dyDescent="0.3">
      <c r="E94" s="28"/>
      <c r="F94" s="28"/>
      <c r="G94" s="28"/>
      <c r="H94" s="28"/>
      <c r="I94" s="28"/>
      <c r="J94" s="28"/>
      <c r="K94" s="58" t="s">
        <v>58</v>
      </c>
      <c r="L94" s="58"/>
      <c r="M94" s="58"/>
      <c r="N94" s="58"/>
      <c r="O94" s="58"/>
      <c r="P94" s="58"/>
      <c r="Q94" s="58"/>
      <c r="R94" s="58"/>
      <c r="S94" s="28"/>
      <c r="T94" s="28"/>
      <c r="U94" s="28"/>
      <c r="V94" s="28"/>
      <c r="W94" s="28"/>
      <c r="X94" s="28"/>
      <c r="Y94" s="28"/>
      <c r="Z94" s="28"/>
      <c r="AA94" s="28"/>
    </row>
    <row r="95" spans="5:29" ht="33" x14ac:dyDescent="0.3">
      <c r="E95" s="28"/>
      <c r="F95" s="28" t="s">
        <v>67</v>
      </c>
      <c r="G95" s="29" t="s">
        <v>74</v>
      </c>
      <c r="H95" s="29" t="s">
        <v>73</v>
      </c>
      <c r="I95" s="28" t="s">
        <v>47</v>
      </c>
      <c r="J95" s="28" t="s">
        <v>65</v>
      </c>
      <c r="K95" s="29" t="s">
        <v>66</v>
      </c>
      <c r="L95" s="28" t="s">
        <v>59</v>
      </c>
      <c r="M95" s="28" t="s">
        <v>60</v>
      </c>
      <c r="N95" s="28" t="s">
        <v>57</v>
      </c>
      <c r="O95" s="28" t="s">
        <v>64</v>
      </c>
      <c r="P95" s="28" t="s">
        <v>72</v>
      </c>
      <c r="Q95" s="28" t="s">
        <v>61</v>
      </c>
      <c r="R95" s="28" t="s">
        <v>62</v>
      </c>
      <c r="S95" s="28" t="s">
        <v>27</v>
      </c>
      <c r="T95" s="28" t="s">
        <v>28</v>
      </c>
      <c r="U95" s="28" t="s">
        <v>30</v>
      </c>
      <c r="V95" s="28" t="s">
        <v>34</v>
      </c>
      <c r="W95" s="28" t="s">
        <v>35</v>
      </c>
      <c r="X95" s="28" t="s">
        <v>36</v>
      </c>
      <c r="Y95" s="28" t="s">
        <v>37</v>
      </c>
      <c r="Z95" s="28" t="s">
        <v>38</v>
      </c>
      <c r="AA95" s="28" t="s">
        <v>53</v>
      </c>
      <c r="AB95" s="28" t="s">
        <v>68</v>
      </c>
      <c r="AC95" s="28" t="s">
        <v>70</v>
      </c>
    </row>
    <row r="96" spans="5:29" x14ac:dyDescent="0.3">
      <c r="E96" s="28">
        <v>2025</v>
      </c>
      <c r="F96" s="28"/>
      <c r="G96" s="30">
        <v>12000</v>
      </c>
      <c r="H96" s="30">
        <v>0</v>
      </c>
      <c r="I96" s="30">
        <v>5000</v>
      </c>
      <c r="J96" s="30">
        <f>G96+H96-I96</f>
        <v>7000</v>
      </c>
      <c r="K96" s="28">
        <v>360</v>
      </c>
      <c r="L96" s="28">
        <v>1200</v>
      </c>
      <c r="M96" s="28">
        <v>2000</v>
      </c>
      <c r="N96" s="28">
        <v>1000</v>
      </c>
      <c r="O96" s="28">
        <v>200</v>
      </c>
      <c r="P96" s="28"/>
      <c r="Q96" s="30">
        <f>J96-K96-L96-M96-N96-O96-P96</f>
        <v>2240</v>
      </c>
      <c r="R96" s="30">
        <v>720</v>
      </c>
      <c r="S96" s="28">
        <v>60000</v>
      </c>
      <c r="T96" s="28"/>
      <c r="U96" s="30">
        <v>41000</v>
      </c>
      <c r="V96" s="30">
        <v>5100</v>
      </c>
      <c r="W96" s="30">
        <v>3400</v>
      </c>
      <c r="X96" s="28">
        <v>0</v>
      </c>
      <c r="Y96" s="30">
        <v>0</v>
      </c>
      <c r="Z96" s="30">
        <v>3500</v>
      </c>
      <c r="AA96" s="30">
        <v>230</v>
      </c>
      <c r="AB96" s="27">
        <f>SUM(S96:AA96)</f>
        <v>113230</v>
      </c>
    </row>
    <row r="97" spans="5:29" x14ac:dyDescent="0.3">
      <c r="E97" s="28">
        <v>2026</v>
      </c>
      <c r="F97" s="28"/>
      <c r="G97" s="30">
        <f>G96*(1+$C$8)</f>
        <v>12240</v>
      </c>
      <c r="H97" s="30">
        <v>0</v>
      </c>
      <c r="I97" s="30">
        <f>I96*(1+$C$9)</f>
        <v>5150</v>
      </c>
      <c r="J97" s="30">
        <f t="shared" ref="J97:J136" si="34">G97+H97-I97</f>
        <v>7090</v>
      </c>
      <c r="K97" s="28">
        <v>360</v>
      </c>
      <c r="L97" s="28">
        <v>1200</v>
      </c>
      <c r="M97" s="28">
        <v>2000</v>
      </c>
      <c r="N97" s="28">
        <v>1000</v>
      </c>
      <c r="O97" s="28">
        <v>200</v>
      </c>
      <c r="P97" s="30">
        <f>S97-S96</f>
        <v>0</v>
      </c>
      <c r="Q97" s="30">
        <f t="shared" ref="Q97:Q136" si="35">J97-K97-L97-M97-N97-O97-P97</f>
        <v>2330</v>
      </c>
      <c r="R97" s="30">
        <f>R96*($C$8+1)</f>
        <v>734.4</v>
      </c>
      <c r="S97" s="30">
        <v>60000</v>
      </c>
      <c r="T97" s="28"/>
      <c r="U97" s="30">
        <f>IF(U96&gt;0,U96*(1+$C$13),U96)+Q96</f>
        <v>44280.58</v>
      </c>
      <c r="V97" s="30">
        <f>V96*$C$12+V96+K96</f>
        <v>5587.5</v>
      </c>
      <c r="W97" s="30">
        <f>W96+W96*$C$17+R96</f>
        <v>4307</v>
      </c>
      <c r="X97" s="30">
        <f>X96+X96*$C$17+L96</f>
        <v>1200</v>
      </c>
      <c r="Y97" s="30">
        <f>Y96+Y96*$C$17+M96</f>
        <v>2000</v>
      </c>
      <c r="Z97" s="30">
        <f>Z96+Z96*$C$21+N96</f>
        <v>4681.72</v>
      </c>
      <c r="AA97" s="30">
        <f>AA96+AA96*$C$23+O96</f>
        <v>441.5</v>
      </c>
      <c r="AB97" s="27">
        <f t="shared" ref="AB97:AB136" si="36">SUM(S97:AA97)</f>
        <v>122498.3</v>
      </c>
      <c r="AC97" s="27">
        <f>AB97-AB96</f>
        <v>9268.3000000000029</v>
      </c>
    </row>
    <row r="98" spans="5:29" x14ac:dyDescent="0.3">
      <c r="E98" s="28">
        <v>2027</v>
      </c>
      <c r="F98" s="28"/>
      <c r="G98" s="30">
        <f t="shared" ref="G98:G112" si="37">G97*(1+$C$8)</f>
        <v>12484.800000000001</v>
      </c>
      <c r="H98" s="30">
        <v>0</v>
      </c>
      <c r="I98" s="30">
        <f t="shared" ref="I98:I136" si="38">I97*(1+$C$9)</f>
        <v>5304.5</v>
      </c>
      <c r="J98" s="30">
        <f t="shared" si="34"/>
        <v>7180.3000000000011</v>
      </c>
      <c r="K98" s="28">
        <v>360</v>
      </c>
      <c r="L98" s="28">
        <v>1200</v>
      </c>
      <c r="M98" s="28">
        <v>2000</v>
      </c>
      <c r="N98" s="28">
        <v>1000</v>
      </c>
      <c r="O98" s="28">
        <v>200</v>
      </c>
      <c r="P98" s="30">
        <f t="shared" ref="P98:P136" si="39">S98-S97</f>
        <v>3000</v>
      </c>
      <c r="Q98" s="30">
        <f t="shared" si="35"/>
        <v>-579.69999999999891</v>
      </c>
      <c r="R98" s="30">
        <f t="shared" ref="R98:R112" si="40">R97*($C$8+1)</f>
        <v>749.08799999999997</v>
      </c>
      <c r="S98" s="30">
        <f>S96*($C$10+1)</f>
        <v>63000</v>
      </c>
      <c r="T98" s="28"/>
      <c r="U98" s="30">
        <f t="shared" ref="U98:U136" si="41">IF(U97&gt;0,U97*(1+$C$13),U97)+Q97</f>
        <v>47734.421120400002</v>
      </c>
      <c r="V98" s="30">
        <f t="shared" ref="V98:V136" si="42">V97*$C$12+V97+K97</f>
        <v>6087.1875</v>
      </c>
      <c r="W98" s="30">
        <f t="shared" ref="W98:W136" si="43">W97+W97*$C$17+R97</f>
        <v>5278.2849999999999</v>
      </c>
      <c r="X98" s="30">
        <f t="shared" ref="X98:Y113" si="44">X97+X97*$C$17+L97</f>
        <v>2466</v>
      </c>
      <c r="Y98" s="30">
        <f t="shared" si="44"/>
        <v>4110</v>
      </c>
      <c r="Z98" s="30">
        <f t="shared" ref="Z98:Z136" si="45">Z97+Z97*$C$21+N97</f>
        <v>5924.7949024</v>
      </c>
      <c r="AA98" s="30">
        <f t="shared" ref="AA98:AA136" si="46">AA97+AA97*$C$23+O97</f>
        <v>663.57500000000005</v>
      </c>
      <c r="AB98" s="27">
        <f t="shared" si="36"/>
        <v>135264.26352280003</v>
      </c>
      <c r="AC98" s="27">
        <f t="shared" ref="AC98:AC136" si="47">AB98-AB97</f>
        <v>12765.963522800026</v>
      </c>
    </row>
    <row r="99" spans="5:29" x14ac:dyDescent="0.3">
      <c r="E99" s="28">
        <v>2028</v>
      </c>
      <c r="F99" s="28" t="s">
        <v>46</v>
      </c>
      <c r="G99" s="30">
        <f t="shared" si="37"/>
        <v>12734.496000000001</v>
      </c>
      <c r="H99" s="30">
        <v>0</v>
      </c>
      <c r="I99" s="30">
        <f t="shared" si="38"/>
        <v>5463.6350000000002</v>
      </c>
      <c r="J99" s="30">
        <f t="shared" si="34"/>
        <v>7270.8610000000008</v>
      </c>
      <c r="K99" s="28">
        <v>360</v>
      </c>
      <c r="L99" s="28">
        <v>1200</v>
      </c>
      <c r="M99" s="28">
        <v>2000</v>
      </c>
      <c r="N99" s="28">
        <v>1000</v>
      </c>
      <c r="O99" s="28">
        <v>200</v>
      </c>
      <c r="P99" s="30">
        <f t="shared" si="39"/>
        <v>0</v>
      </c>
      <c r="Q99" s="30">
        <f t="shared" si="35"/>
        <v>2510.8610000000008</v>
      </c>
      <c r="R99" s="30">
        <f t="shared" si="40"/>
        <v>764.06975999999997</v>
      </c>
      <c r="S99" s="30">
        <f>S97*($C$10+1)</f>
        <v>63000</v>
      </c>
      <c r="T99" s="28"/>
      <c r="U99" s="30">
        <f t="shared" si="41"/>
        <v>48366.220728435757</v>
      </c>
      <c r="V99" s="30">
        <f t="shared" si="42"/>
        <v>6599.3671875</v>
      </c>
      <c r="W99" s="30">
        <f t="shared" si="43"/>
        <v>6317.6786749999992</v>
      </c>
      <c r="X99" s="30">
        <f t="shared" si="44"/>
        <v>3801.63</v>
      </c>
      <c r="Y99" s="30">
        <f t="shared" si="44"/>
        <v>6336.05</v>
      </c>
      <c r="Z99" s="30">
        <f t="shared" si="45"/>
        <v>7232.410253732608</v>
      </c>
      <c r="AA99" s="30">
        <f t="shared" si="46"/>
        <v>896.75375000000008</v>
      </c>
      <c r="AB99" s="27">
        <f t="shared" si="36"/>
        <v>142550.11059466837</v>
      </c>
      <c r="AC99" s="27">
        <f t="shared" si="47"/>
        <v>7285.8470718683384</v>
      </c>
    </row>
    <row r="100" spans="5:29" x14ac:dyDescent="0.3">
      <c r="E100" s="28">
        <v>2029</v>
      </c>
      <c r="F100" s="28"/>
      <c r="G100" s="30">
        <f t="shared" si="37"/>
        <v>12989.185920000002</v>
      </c>
      <c r="H100" s="30">
        <v>0</v>
      </c>
      <c r="I100" s="30">
        <f t="shared" si="38"/>
        <v>5627.5440500000004</v>
      </c>
      <c r="J100" s="30">
        <f t="shared" si="34"/>
        <v>7361.6418700000013</v>
      </c>
      <c r="K100" s="28"/>
      <c r="L100" s="28">
        <v>1200</v>
      </c>
      <c r="M100" s="28">
        <v>2000</v>
      </c>
      <c r="N100" s="28">
        <v>1000</v>
      </c>
      <c r="O100" s="28">
        <v>200</v>
      </c>
      <c r="P100" s="30">
        <f t="shared" si="39"/>
        <v>3150</v>
      </c>
      <c r="Q100" s="30">
        <f t="shared" si="35"/>
        <v>-188.35812999999871</v>
      </c>
      <c r="R100" s="30">
        <f t="shared" si="40"/>
        <v>779.35115519999999</v>
      </c>
      <c r="S100" s="30">
        <f t="shared" ref="S100:S101" si="48">S98*($C$10+1)</f>
        <v>66150</v>
      </c>
      <c r="T100" s="28"/>
      <c r="U100" s="30">
        <f t="shared" si="41"/>
        <v>52104.616410523449</v>
      </c>
      <c r="V100" s="30">
        <f t="shared" si="42"/>
        <v>7124.3513671874998</v>
      </c>
      <c r="W100" s="30">
        <f t="shared" si="43"/>
        <v>7429.220762125</v>
      </c>
      <c r="X100" s="30">
        <f t="shared" si="44"/>
        <v>5210.71965</v>
      </c>
      <c r="Y100" s="30">
        <f t="shared" si="44"/>
        <v>8684.5327500000003</v>
      </c>
      <c r="Z100" s="30">
        <f t="shared" si="45"/>
        <v>8607.9169941064047</v>
      </c>
      <c r="AA100" s="30">
        <f t="shared" si="46"/>
        <v>1141.5914375000002</v>
      </c>
      <c r="AB100" s="27">
        <f t="shared" si="36"/>
        <v>156452.94937144237</v>
      </c>
      <c r="AC100" s="27">
        <f t="shared" si="47"/>
        <v>13902.838776774006</v>
      </c>
    </row>
    <row r="101" spans="5:29" x14ac:dyDescent="0.3">
      <c r="E101" s="28">
        <v>2030</v>
      </c>
      <c r="F101" s="28"/>
      <c r="G101" s="30">
        <f t="shared" si="37"/>
        <v>13248.969638400002</v>
      </c>
      <c r="H101" s="30">
        <v>0</v>
      </c>
      <c r="I101" s="30">
        <f t="shared" si="38"/>
        <v>5796.3703715000001</v>
      </c>
      <c r="J101" s="30">
        <f t="shared" si="34"/>
        <v>7452.5992669000016</v>
      </c>
      <c r="K101" s="28"/>
      <c r="L101" s="28">
        <v>1200</v>
      </c>
      <c r="M101" s="28">
        <v>2000</v>
      </c>
      <c r="N101" s="28">
        <v>1000</v>
      </c>
      <c r="O101" s="28">
        <v>200</v>
      </c>
      <c r="P101" s="30">
        <f t="shared" si="39"/>
        <v>0</v>
      </c>
      <c r="Q101" s="30">
        <f t="shared" si="35"/>
        <v>3052.5992669000016</v>
      </c>
      <c r="R101" s="30">
        <f t="shared" si="40"/>
        <v>794.93817830399996</v>
      </c>
      <c r="S101" s="30">
        <f t="shared" si="48"/>
        <v>66150</v>
      </c>
      <c r="U101" s="30">
        <f t="shared" si="41"/>
        <v>53238.673445022534</v>
      </c>
      <c r="V101" s="30">
        <f t="shared" si="42"/>
        <v>7302.4601513671878</v>
      </c>
      <c r="W101" s="30">
        <f t="shared" si="43"/>
        <v>8617.1790592418747</v>
      </c>
      <c r="X101" s="30">
        <f t="shared" si="44"/>
        <v>6697.3092307500001</v>
      </c>
      <c r="Y101" s="30">
        <f t="shared" si="44"/>
        <v>11162.18205125</v>
      </c>
      <c r="Z101" s="30">
        <f t="shared" si="45"/>
        <v>10054.840044440409</v>
      </c>
      <c r="AA101" s="30">
        <f t="shared" si="46"/>
        <v>1398.6710093750003</v>
      </c>
      <c r="AB101" s="27">
        <f t="shared" si="36"/>
        <v>164621.314991447</v>
      </c>
      <c r="AC101" s="27">
        <f t="shared" si="47"/>
        <v>8168.3656200046244</v>
      </c>
    </row>
    <row r="102" spans="5:29" x14ac:dyDescent="0.3">
      <c r="E102" s="28">
        <v>2031</v>
      </c>
      <c r="F102" s="28"/>
      <c r="G102" s="30">
        <f t="shared" si="37"/>
        <v>13513.949031168002</v>
      </c>
      <c r="H102" s="30">
        <v>0</v>
      </c>
      <c r="I102" s="30">
        <f t="shared" si="38"/>
        <v>5970.2614826449999</v>
      </c>
      <c r="J102" s="30">
        <f t="shared" si="34"/>
        <v>7543.6875485230021</v>
      </c>
      <c r="K102" s="28"/>
      <c r="L102" s="28">
        <v>1200</v>
      </c>
      <c r="M102" s="28">
        <v>2000</v>
      </c>
      <c r="N102" s="28">
        <v>1000</v>
      </c>
      <c r="O102" s="28">
        <v>200</v>
      </c>
      <c r="P102" s="30">
        <v>0</v>
      </c>
      <c r="Q102" s="30">
        <f t="shared" si="35"/>
        <v>3143.6875485230021</v>
      </c>
      <c r="R102" s="30">
        <f t="shared" si="40"/>
        <v>810.83694187007995</v>
      </c>
      <c r="S102" s="30"/>
      <c r="T102" s="28">
        <v>100000</v>
      </c>
      <c r="U102" s="30">
        <f>IF(U101&gt;0,U101*(1+$C$13),U101)+Q101-(T102-S101)</f>
        <v>23792.470243957207</v>
      </c>
      <c r="V102" s="30">
        <f t="shared" si="42"/>
        <v>7485.0216551513677</v>
      </c>
      <c r="W102" s="30">
        <f t="shared" si="43"/>
        <v>9886.0620858041784</v>
      </c>
      <c r="X102" s="30">
        <f t="shared" si="44"/>
        <v>8265.661238441251</v>
      </c>
      <c r="Y102" s="30">
        <f t="shared" si="44"/>
        <v>13776.102064068749</v>
      </c>
      <c r="Z102" s="30">
        <f t="shared" si="45"/>
        <v>11576.887339547755</v>
      </c>
      <c r="AA102" s="30">
        <f t="shared" si="46"/>
        <v>1668.6045598437504</v>
      </c>
      <c r="AB102" s="27">
        <f t="shared" si="36"/>
        <v>176450.80918681424</v>
      </c>
      <c r="AC102" s="27">
        <f t="shared" si="47"/>
        <v>11829.494195367239</v>
      </c>
    </row>
    <row r="103" spans="5:29" x14ac:dyDescent="0.3">
      <c r="E103" s="28">
        <v>2032</v>
      </c>
      <c r="F103" s="28"/>
      <c r="G103" s="30">
        <f t="shared" si="37"/>
        <v>13784.228011791361</v>
      </c>
      <c r="H103" s="30">
        <v>0</v>
      </c>
      <c r="I103" s="30">
        <f t="shared" si="38"/>
        <v>6149.3693271243501</v>
      </c>
      <c r="J103" s="30">
        <f t="shared" si="34"/>
        <v>7634.8586846670114</v>
      </c>
      <c r="K103" s="28"/>
      <c r="L103" s="28">
        <v>1200</v>
      </c>
      <c r="M103" s="28">
        <v>2000</v>
      </c>
      <c r="N103" s="28">
        <v>1000</v>
      </c>
      <c r="O103" s="28">
        <v>200</v>
      </c>
      <c r="P103" s="30">
        <f t="shared" si="39"/>
        <v>0</v>
      </c>
      <c r="Q103" s="30">
        <f t="shared" si="35"/>
        <v>3234.8586846670114</v>
      </c>
      <c r="R103" s="30">
        <f t="shared" si="40"/>
        <v>827.05368070748159</v>
      </c>
      <c r="S103" s="30"/>
      <c r="T103" s="28">
        <f>T102*(1+$C$2)</f>
        <v>103000</v>
      </c>
      <c r="U103" s="30">
        <f t="shared" si="41"/>
        <v>27540.010687271839</v>
      </c>
      <c r="V103" s="30">
        <f t="shared" si="42"/>
        <v>7672.1471965301516</v>
      </c>
      <c r="W103" s="30">
        <f t="shared" si="43"/>
        <v>11240.632442393489</v>
      </c>
      <c r="X103" s="30">
        <f t="shared" si="44"/>
        <v>9920.2726065555198</v>
      </c>
      <c r="Y103" s="30">
        <f t="shared" si="44"/>
        <v>16533.787677592532</v>
      </c>
      <c r="Z103" s="30">
        <f t="shared" si="45"/>
        <v>13177.959330217074</v>
      </c>
      <c r="AA103" s="30">
        <f t="shared" si="46"/>
        <v>1952.034787835938</v>
      </c>
      <c r="AB103" s="27">
        <f t="shared" si="36"/>
        <v>191036.84472839654</v>
      </c>
      <c r="AC103" s="27">
        <f t="shared" si="47"/>
        <v>14586.0355415823</v>
      </c>
    </row>
    <row r="104" spans="5:29" x14ac:dyDescent="0.3">
      <c r="E104" s="28">
        <v>2033</v>
      </c>
      <c r="F104" s="28"/>
      <c r="G104" s="30">
        <f t="shared" si="37"/>
        <v>14059.91257202719</v>
      </c>
      <c r="H104" s="30">
        <v>0</v>
      </c>
      <c r="I104" s="30">
        <f t="shared" si="38"/>
        <v>6333.8504069380806</v>
      </c>
      <c r="J104" s="30">
        <f t="shared" si="34"/>
        <v>7726.0621650891089</v>
      </c>
      <c r="K104" s="28"/>
      <c r="L104" s="28">
        <v>1200</v>
      </c>
      <c r="M104" s="28">
        <v>2000</v>
      </c>
      <c r="N104" s="28">
        <v>1000</v>
      </c>
      <c r="O104" s="28">
        <v>200</v>
      </c>
      <c r="P104" s="30">
        <f t="shared" si="39"/>
        <v>0</v>
      </c>
      <c r="Q104" s="30">
        <f t="shared" si="35"/>
        <v>3326.0621650891089</v>
      </c>
      <c r="R104" s="30">
        <f t="shared" si="40"/>
        <v>843.59475432163129</v>
      </c>
      <c r="S104" s="30"/>
      <c r="T104" s="28">
        <f t="shared" ref="T104:T136" si="49">T103*(1+$C$2)</f>
        <v>106090</v>
      </c>
      <c r="U104" s="30">
        <f t="shared" si="41"/>
        <v>31473.834843181809</v>
      </c>
      <c r="V104" s="30">
        <f t="shared" si="42"/>
        <v>7863.9508764434058</v>
      </c>
      <c r="W104" s="30">
        <f t="shared" si="43"/>
        <v>12685.920907432614</v>
      </c>
      <c r="X104" s="30">
        <f t="shared" si="44"/>
        <v>11665.887599916074</v>
      </c>
      <c r="Y104" s="30">
        <f t="shared" si="44"/>
        <v>19443.14599986012</v>
      </c>
      <c r="Z104" s="30">
        <f t="shared" si="45"/>
        <v>14862.158978641944</v>
      </c>
      <c r="AA104" s="30">
        <f t="shared" si="46"/>
        <v>2249.6365272277349</v>
      </c>
      <c r="AB104" s="27">
        <f t="shared" si="36"/>
        <v>206334.53573270369</v>
      </c>
      <c r="AC104" s="27">
        <f t="shared" si="47"/>
        <v>15297.691004307155</v>
      </c>
    </row>
    <row r="105" spans="5:29" x14ac:dyDescent="0.3">
      <c r="E105" s="28">
        <v>2034</v>
      </c>
      <c r="F105" s="28"/>
      <c r="G105" s="30">
        <f t="shared" si="37"/>
        <v>14341.110823467734</v>
      </c>
      <c r="H105" s="30">
        <v>0</v>
      </c>
      <c r="I105" s="30">
        <f t="shared" si="38"/>
        <v>6523.865919146223</v>
      </c>
      <c r="J105" s="30">
        <f t="shared" si="34"/>
        <v>7817.2449043215111</v>
      </c>
      <c r="K105" s="28"/>
      <c r="L105" s="28">
        <v>1200</v>
      </c>
      <c r="M105" s="28">
        <v>2000</v>
      </c>
      <c r="N105" s="28">
        <v>1000</v>
      </c>
      <c r="O105" s="28">
        <v>200</v>
      </c>
      <c r="P105" s="30">
        <f t="shared" si="39"/>
        <v>0</v>
      </c>
      <c r="Q105" s="30">
        <f t="shared" si="35"/>
        <v>3417.2449043215111</v>
      </c>
      <c r="R105" s="30">
        <f t="shared" si="40"/>
        <v>860.46664940806397</v>
      </c>
      <c r="S105" s="30"/>
      <c r="T105" s="28">
        <f t="shared" si="49"/>
        <v>109272.7</v>
      </c>
      <c r="U105" s="30">
        <f t="shared" si="41"/>
        <v>35598.702936590875</v>
      </c>
      <c r="V105" s="30">
        <f t="shared" si="42"/>
        <v>8060.5496483544912</v>
      </c>
      <c r="W105" s="30">
        <f t="shared" si="43"/>
        <v>14227.24131166304</v>
      </c>
      <c r="X105" s="30">
        <f t="shared" si="44"/>
        <v>13507.511417911457</v>
      </c>
      <c r="Y105" s="30">
        <f t="shared" si="44"/>
        <v>22512.519029852429</v>
      </c>
      <c r="Z105" s="30">
        <f t="shared" si="45"/>
        <v>16633.802272813035</v>
      </c>
      <c r="AA105" s="30">
        <f t="shared" si="46"/>
        <v>2562.1183535891214</v>
      </c>
      <c r="AB105" s="27">
        <f t="shared" si="36"/>
        <v>222375.14497077445</v>
      </c>
      <c r="AC105" s="27">
        <f t="shared" si="47"/>
        <v>16040.609238070756</v>
      </c>
    </row>
    <row r="106" spans="5:29" x14ac:dyDescent="0.3">
      <c r="E106" s="28">
        <v>2035</v>
      </c>
      <c r="F106" s="28"/>
      <c r="G106" s="30">
        <f t="shared" si="37"/>
        <v>14627.933039937088</v>
      </c>
      <c r="H106" s="30">
        <v>0</v>
      </c>
      <c r="I106" s="30">
        <f t="shared" si="38"/>
        <v>6719.5818967206096</v>
      </c>
      <c r="J106" s="30">
        <f t="shared" si="34"/>
        <v>7908.3511432164787</v>
      </c>
      <c r="K106" s="28"/>
      <c r="L106" s="28">
        <v>1200</v>
      </c>
      <c r="M106" s="28">
        <v>2000</v>
      </c>
      <c r="N106" s="28">
        <v>1000</v>
      </c>
      <c r="O106" s="28">
        <v>200</v>
      </c>
      <c r="P106" s="30">
        <f t="shared" si="39"/>
        <v>0</v>
      </c>
      <c r="Q106" s="30">
        <f t="shared" si="35"/>
        <v>3508.3511432164787</v>
      </c>
      <c r="R106" s="30">
        <f t="shared" si="40"/>
        <v>877.67598239622532</v>
      </c>
      <c r="S106" s="30"/>
      <c r="T106" s="28">
        <f t="shared" si="49"/>
        <v>112550.88099999999</v>
      </c>
      <c r="U106" s="30">
        <f t="shared" si="41"/>
        <v>39919.442921443057</v>
      </c>
      <c r="V106" s="30">
        <f t="shared" si="42"/>
        <v>8262.0633895633528</v>
      </c>
      <c r="W106" s="30">
        <f t="shared" si="43"/>
        <v>15870.206233212572</v>
      </c>
      <c r="X106" s="30">
        <f t="shared" si="44"/>
        <v>15450.424545896587</v>
      </c>
      <c r="Y106" s="30">
        <f t="shared" si="44"/>
        <v>25750.707576494311</v>
      </c>
      <c r="Z106" s="30">
        <f t="shared" si="45"/>
        <v>18497.429286817489</v>
      </c>
      <c r="AA106" s="30">
        <f t="shared" si="46"/>
        <v>2890.2242712685775</v>
      </c>
      <c r="AB106" s="27">
        <f t="shared" si="36"/>
        <v>239191.37922469596</v>
      </c>
      <c r="AC106" s="27">
        <f t="shared" si="47"/>
        <v>16816.234253921517</v>
      </c>
    </row>
    <row r="107" spans="5:29" x14ac:dyDescent="0.3">
      <c r="E107" s="28">
        <v>2036</v>
      </c>
      <c r="F107" s="28"/>
      <c r="G107" s="30">
        <f t="shared" si="37"/>
        <v>14920.491700735831</v>
      </c>
      <c r="H107" s="30">
        <v>0</v>
      </c>
      <c r="I107" s="30">
        <f t="shared" si="38"/>
        <v>6921.1693536222283</v>
      </c>
      <c r="J107" s="30">
        <f t="shared" si="34"/>
        <v>7999.3223471136025</v>
      </c>
      <c r="K107" s="28"/>
      <c r="L107" s="28">
        <v>1200</v>
      </c>
      <c r="M107" s="28">
        <v>2000</v>
      </c>
      <c r="N107" s="28">
        <v>1000</v>
      </c>
      <c r="O107" s="28">
        <v>200</v>
      </c>
      <c r="P107" s="30">
        <f t="shared" si="39"/>
        <v>0</v>
      </c>
      <c r="Q107" s="30">
        <f t="shared" si="35"/>
        <v>3599.3223471136025</v>
      </c>
      <c r="R107" s="30">
        <f t="shared" si="40"/>
        <v>895.22950204414985</v>
      </c>
      <c r="S107" s="30"/>
      <c r="T107" s="28">
        <f t="shared" si="49"/>
        <v>115927.40742999999</v>
      </c>
      <c r="U107" s="30">
        <f t="shared" si="41"/>
        <v>44440.949526005759</v>
      </c>
      <c r="V107" s="30">
        <f t="shared" si="42"/>
        <v>8468.6149743024362</v>
      </c>
      <c r="W107" s="30">
        <f t="shared" si="43"/>
        <v>17620.743558435486</v>
      </c>
      <c r="X107" s="30">
        <f t="shared" si="44"/>
        <v>17500.197895920901</v>
      </c>
      <c r="Y107" s="30">
        <f t="shared" si="44"/>
        <v>29166.996493201499</v>
      </c>
      <c r="Z107" s="30">
        <f t="shared" si="45"/>
        <v>20457.815815389054</v>
      </c>
      <c r="AA107" s="30">
        <f t="shared" si="46"/>
        <v>3234.7354848320065</v>
      </c>
      <c r="AB107" s="27">
        <f t="shared" si="36"/>
        <v>256817.46117808713</v>
      </c>
      <c r="AC107" s="27">
        <f t="shared" si="47"/>
        <v>17626.081953391171</v>
      </c>
    </row>
    <row r="108" spans="5:29" x14ac:dyDescent="0.3">
      <c r="E108" s="28">
        <v>2037</v>
      </c>
      <c r="F108" s="28"/>
      <c r="G108" s="30">
        <f t="shared" si="37"/>
        <v>15218.901534750548</v>
      </c>
      <c r="H108" s="30">
        <v>0</v>
      </c>
      <c r="I108" s="30">
        <f t="shared" si="38"/>
        <v>7128.8044342308949</v>
      </c>
      <c r="J108" s="30">
        <f t="shared" si="34"/>
        <v>8090.0971005196534</v>
      </c>
      <c r="K108" s="28"/>
      <c r="L108" s="28">
        <v>1200</v>
      </c>
      <c r="M108" s="28">
        <v>2000</v>
      </c>
      <c r="N108" s="28">
        <v>1000</v>
      </c>
      <c r="O108" s="28">
        <v>200</v>
      </c>
      <c r="P108" s="30">
        <f t="shared" si="39"/>
        <v>0</v>
      </c>
      <c r="Q108" s="30">
        <f t="shared" si="35"/>
        <v>3690.0971005196534</v>
      </c>
      <c r="R108" s="30">
        <f t="shared" si="40"/>
        <v>913.13409208503288</v>
      </c>
      <c r="S108" s="30"/>
      <c r="T108" s="28">
        <f t="shared" si="49"/>
        <v>119405.2296529</v>
      </c>
      <c r="U108" s="30">
        <f t="shared" si="41"/>
        <v>49168.183172089382</v>
      </c>
      <c r="V108" s="30">
        <f t="shared" si="42"/>
        <v>8680.330348659998</v>
      </c>
      <c r="W108" s="30">
        <f t="shared" si="43"/>
        <v>19485.113956193585</v>
      </c>
      <c r="X108" s="30">
        <f t="shared" si="44"/>
        <v>19662.70878019655</v>
      </c>
      <c r="Y108" s="30">
        <f t="shared" si="44"/>
        <v>32771.181300327582</v>
      </c>
      <c r="Z108" s="30">
        <f t="shared" si="45"/>
        <v>22519.985612524055</v>
      </c>
      <c r="AA108" s="30">
        <f t="shared" si="46"/>
        <v>3596.4722590736069</v>
      </c>
      <c r="AB108" s="27">
        <f t="shared" si="36"/>
        <v>275289.20508196478</v>
      </c>
      <c r="AC108" s="27">
        <f t="shared" si="47"/>
        <v>18471.74390387765</v>
      </c>
    </row>
    <row r="109" spans="5:29" x14ac:dyDescent="0.3">
      <c r="E109" s="28">
        <v>2038</v>
      </c>
      <c r="F109" s="28" t="s">
        <v>50</v>
      </c>
      <c r="G109" s="30">
        <f t="shared" si="37"/>
        <v>15523.27956544556</v>
      </c>
      <c r="H109" s="30">
        <v>0</v>
      </c>
      <c r="I109" s="30">
        <f t="shared" si="38"/>
        <v>7342.6685672578224</v>
      </c>
      <c r="J109" s="30">
        <f t="shared" si="34"/>
        <v>8180.610998187738</v>
      </c>
      <c r="K109" s="28"/>
      <c r="L109" s="28"/>
      <c r="M109" s="28">
        <v>2000</v>
      </c>
      <c r="N109" s="28">
        <v>1000</v>
      </c>
      <c r="O109" s="28">
        <v>200</v>
      </c>
      <c r="P109" s="30">
        <f t="shared" si="39"/>
        <v>0</v>
      </c>
      <c r="Q109" s="30">
        <f t="shared" si="35"/>
        <v>4980.610998187738</v>
      </c>
      <c r="R109" s="30">
        <f t="shared" si="40"/>
        <v>931.39677392673354</v>
      </c>
      <c r="S109" s="30"/>
      <c r="T109" s="28">
        <f t="shared" si="49"/>
        <v>122987.386542487</v>
      </c>
      <c r="U109" s="30">
        <f t="shared" si="41"/>
        <v>54106.168761516667</v>
      </c>
      <c r="V109" s="30">
        <f t="shared" si="42"/>
        <v>8897.3386073764977</v>
      </c>
      <c r="W109" s="30">
        <f t="shared" si="43"/>
        <v>21469.929315869267</v>
      </c>
      <c r="X109" s="30">
        <f t="shared" si="44"/>
        <v>21944.15776310736</v>
      </c>
      <c r="Y109" s="30">
        <f t="shared" si="44"/>
        <v>36573.596271845599</v>
      </c>
      <c r="Z109" s="30">
        <f t="shared" si="45"/>
        <v>24689.223265526303</v>
      </c>
      <c r="AA109" s="30">
        <f t="shared" si="46"/>
        <v>3976.2958720272873</v>
      </c>
      <c r="AB109" s="27">
        <f t="shared" si="36"/>
        <v>294644.09639975597</v>
      </c>
      <c r="AC109" s="27">
        <f t="shared" si="47"/>
        <v>19354.891317791189</v>
      </c>
    </row>
    <row r="110" spans="5:29" x14ac:dyDescent="0.3">
      <c r="E110" s="28">
        <v>2039</v>
      </c>
      <c r="F110" s="28"/>
      <c r="G110" s="30">
        <f t="shared" si="37"/>
        <v>15833.745156754472</v>
      </c>
      <c r="H110" s="30">
        <v>0</v>
      </c>
      <c r="I110" s="30">
        <f t="shared" si="38"/>
        <v>7562.9486242755574</v>
      </c>
      <c r="J110" s="30">
        <f t="shared" si="34"/>
        <v>8270.7965324789147</v>
      </c>
      <c r="K110" s="28"/>
      <c r="L110" s="28"/>
      <c r="M110" s="28">
        <v>2000</v>
      </c>
      <c r="N110" s="28">
        <v>1000</v>
      </c>
      <c r="O110" s="28">
        <v>200</v>
      </c>
      <c r="P110" s="30">
        <f t="shared" si="39"/>
        <v>0</v>
      </c>
      <c r="Q110" s="30">
        <f t="shared" si="35"/>
        <v>5070.7965324789147</v>
      </c>
      <c r="R110" s="30">
        <f t="shared" si="40"/>
        <v>950.02470940526825</v>
      </c>
      <c r="S110" s="30"/>
      <c r="T110" s="28">
        <f t="shared" si="49"/>
        <v>126677.00813876161</v>
      </c>
      <c r="U110" s="30">
        <f t="shared" si="41"/>
        <v>60459.994322871695</v>
      </c>
      <c r="V110" s="30">
        <f t="shared" si="42"/>
        <v>9119.7720725609106</v>
      </c>
      <c r="W110" s="30">
        <f t="shared" si="43"/>
        <v>23582.172202168807</v>
      </c>
      <c r="X110" s="30">
        <f t="shared" si="44"/>
        <v>23151.086440078263</v>
      </c>
      <c r="Y110" s="30">
        <f t="shared" si="44"/>
        <v>40585.144066797111</v>
      </c>
      <c r="Z110" s="30">
        <f t="shared" si="45"/>
        <v>26971.08773747243</v>
      </c>
      <c r="AA110" s="30">
        <f t="shared" si="46"/>
        <v>4375.110665628652</v>
      </c>
      <c r="AB110" s="27">
        <f t="shared" si="36"/>
        <v>314921.3756463395</v>
      </c>
      <c r="AC110" s="27">
        <f t="shared" si="47"/>
        <v>20277.279246583523</v>
      </c>
    </row>
    <row r="111" spans="5:29" x14ac:dyDescent="0.3">
      <c r="E111" s="28">
        <v>2040</v>
      </c>
      <c r="F111" s="28"/>
      <c r="G111" s="30">
        <f t="shared" si="37"/>
        <v>16150.420059889562</v>
      </c>
      <c r="H111" s="30">
        <v>0</v>
      </c>
      <c r="I111" s="30">
        <f t="shared" si="38"/>
        <v>7789.8370830038248</v>
      </c>
      <c r="J111" s="30">
        <f t="shared" si="34"/>
        <v>8360.5829768857366</v>
      </c>
      <c r="K111" s="28"/>
      <c r="L111" s="28"/>
      <c r="M111" s="28">
        <v>2000</v>
      </c>
      <c r="N111" s="28">
        <v>1000</v>
      </c>
      <c r="O111" s="28">
        <v>200</v>
      </c>
      <c r="P111" s="30">
        <f t="shared" si="39"/>
        <v>0</v>
      </c>
      <c r="Q111" s="30">
        <f t="shared" si="35"/>
        <v>5160.5829768857366</v>
      </c>
      <c r="R111" s="30">
        <f t="shared" si="40"/>
        <v>969.02520359337359</v>
      </c>
      <c r="S111" s="30"/>
      <c r="T111" s="28">
        <f t="shared" si="49"/>
        <v>130477.31838292447</v>
      </c>
      <c r="U111" s="30">
        <f t="shared" si="41"/>
        <v>67065.265511265097</v>
      </c>
      <c r="V111" s="30">
        <f t="shared" si="42"/>
        <v>9347.7663743749326</v>
      </c>
      <c r="W111" s="30">
        <f t="shared" si="43"/>
        <v>25829.216382693361</v>
      </c>
      <c r="X111" s="30">
        <f t="shared" si="44"/>
        <v>24424.396194282566</v>
      </c>
      <c r="Y111" s="30">
        <f t="shared" si="44"/>
        <v>44817.326990470952</v>
      </c>
      <c r="Z111" s="30">
        <f t="shared" si="45"/>
        <v>29371.426612801999</v>
      </c>
      <c r="AA111" s="30">
        <f t="shared" si="46"/>
        <v>4793.8661989100847</v>
      </c>
      <c r="AB111" s="27">
        <f t="shared" si="36"/>
        <v>336126.5826477235</v>
      </c>
      <c r="AC111" s="27">
        <f t="shared" si="47"/>
        <v>21205.207001383998</v>
      </c>
    </row>
    <row r="112" spans="5:29" x14ac:dyDescent="0.3">
      <c r="E112" s="28">
        <v>2041</v>
      </c>
      <c r="F112" s="28" t="s">
        <v>71</v>
      </c>
      <c r="G112" s="30">
        <f t="shared" si="37"/>
        <v>16473.428461087355</v>
      </c>
      <c r="H112" s="30">
        <v>0</v>
      </c>
      <c r="I112" s="30">
        <f t="shared" si="38"/>
        <v>8023.53219549394</v>
      </c>
      <c r="J112" s="30">
        <f t="shared" si="34"/>
        <v>8449.8962655934156</v>
      </c>
      <c r="K112" s="28"/>
      <c r="L112" s="28"/>
      <c r="M112" s="28">
        <v>2000</v>
      </c>
      <c r="N112" s="28">
        <v>1000</v>
      </c>
      <c r="O112" s="28">
        <v>200</v>
      </c>
      <c r="P112" s="30">
        <f t="shared" si="39"/>
        <v>0</v>
      </c>
      <c r="Q112" s="30">
        <f t="shared" si="35"/>
        <v>5249.8962655934156</v>
      </c>
      <c r="R112" s="30">
        <f t="shared" si="40"/>
        <v>988.40570766524104</v>
      </c>
      <c r="S112" s="30"/>
      <c r="T112" s="28">
        <f t="shared" si="49"/>
        <v>134391.6379344122</v>
      </c>
      <c r="U112" s="30">
        <f t="shared" si="41"/>
        <v>73927.964926826739</v>
      </c>
      <c r="V112" s="30">
        <f t="shared" si="42"/>
        <v>9581.4605337343055</v>
      </c>
      <c r="W112" s="30">
        <f t="shared" si="43"/>
        <v>28218.848487334872</v>
      </c>
      <c r="X112" s="30">
        <f t="shared" si="44"/>
        <v>25767.737984968109</v>
      </c>
      <c r="Y112" s="30">
        <f t="shared" si="44"/>
        <v>49282.279974946854</v>
      </c>
      <c r="Z112" s="30">
        <f t="shared" si="45"/>
        <v>31896.391082538677</v>
      </c>
      <c r="AA112" s="30">
        <f t="shared" si="46"/>
        <v>5233.5595088555892</v>
      </c>
      <c r="AB112" s="27">
        <f t="shared" si="36"/>
        <v>358299.88043361733</v>
      </c>
      <c r="AC112" s="27">
        <f t="shared" si="47"/>
        <v>22173.297785893839</v>
      </c>
    </row>
    <row r="113" spans="5:29" x14ac:dyDescent="0.3">
      <c r="E113" s="28">
        <v>2042</v>
      </c>
      <c r="F113" s="28"/>
      <c r="G113" s="28"/>
      <c r="H113" s="30">
        <v>0</v>
      </c>
      <c r="I113" s="30">
        <f t="shared" si="38"/>
        <v>8264.2381613587586</v>
      </c>
      <c r="J113" s="30">
        <f t="shared" si="34"/>
        <v>-8264.2381613587586</v>
      </c>
      <c r="K113" s="28"/>
      <c r="L113" s="28"/>
      <c r="M113" s="28"/>
      <c r="N113" s="28"/>
      <c r="O113" s="28"/>
      <c r="P113" s="30">
        <f t="shared" si="39"/>
        <v>0</v>
      </c>
      <c r="Q113" s="30">
        <f t="shared" si="35"/>
        <v>-8264.2381613587586</v>
      </c>
      <c r="R113" s="28"/>
      <c r="S113" s="30"/>
      <c r="T113" s="28">
        <f t="shared" si="49"/>
        <v>138423.38707244457</v>
      </c>
      <c r="U113" s="30">
        <f t="shared" si="41"/>
        <v>81054.152942263012</v>
      </c>
      <c r="V113" s="30">
        <f t="shared" si="42"/>
        <v>9820.9970470776625</v>
      </c>
      <c r="W113" s="30">
        <f t="shared" si="43"/>
        <v>30759.290861803533</v>
      </c>
      <c r="X113" s="30">
        <f t="shared" si="44"/>
        <v>27184.963574141355</v>
      </c>
      <c r="Y113" s="30">
        <f t="shared" si="44"/>
        <v>53992.805373568932</v>
      </c>
      <c r="Z113" s="30">
        <f t="shared" si="45"/>
        <v>34552.451707544089</v>
      </c>
      <c r="AA113" s="30">
        <f t="shared" si="46"/>
        <v>5695.2374842983691</v>
      </c>
      <c r="AB113" s="27">
        <f t="shared" si="36"/>
        <v>381483.28606314154</v>
      </c>
      <c r="AC113" s="27">
        <f t="shared" si="47"/>
        <v>23183.405629524204</v>
      </c>
    </row>
    <row r="114" spans="5:29" x14ac:dyDescent="0.3">
      <c r="E114" s="28">
        <v>2043</v>
      </c>
      <c r="F114" s="28"/>
      <c r="G114" s="28"/>
      <c r="H114" s="30">
        <v>0</v>
      </c>
      <c r="I114" s="30">
        <f t="shared" si="38"/>
        <v>8512.1653061995221</v>
      </c>
      <c r="J114" s="30">
        <f t="shared" si="34"/>
        <v>-8512.1653061995221</v>
      </c>
      <c r="K114" s="28"/>
      <c r="L114" s="28"/>
      <c r="M114" s="28"/>
      <c r="N114" s="28"/>
      <c r="O114" s="28"/>
      <c r="P114" s="30">
        <f t="shared" si="39"/>
        <v>0</v>
      </c>
      <c r="Q114" s="30">
        <f t="shared" si="35"/>
        <v>-8512.1653061995221</v>
      </c>
      <c r="R114" s="28"/>
      <c r="S114" s="30"/>
      <c r="T114" s="28">
        <f t="shared" si="49"/>
        <v>142576.08868461792</v>
      </c>
      <c r="U114" s="30">
        <f t="shared" si="41"/>
        <v>74847.069182578882</v>
      </c>
      <c r="V114" s="30">
        <f t="shared" si="42"/>
        <v>10066.521973254605</v>
      </c>
      <c r="W114" s="30">
        <f t="shared" si="43"/>
        <v>32451.051859202726</v>
      </c>
      <c r="X114" s="30">
        <f t="shared" ref="X114:Y129" si="50">X113+X113*$C$17+L113</f>
        <v>28680.136570719129</v>
      </c>
      <c r="Y114" s="30">
        <f t="shared" si="50"/>
        <v>56962.409669115223</v>
      </c>
      <c r="Z114" s="30">
        <f t="shared" si="45"/>
        <v>36346.415000199777</v>
      </c>
      <c r="AA114" s="30">
        <f t="shared" si="46"/>
        <v>5979.9993585132879</v>
      </c>
      <c r="AB114" s="27">
        <f t="shared" si="36"/>
        <v>387909.69229820149</v>
      </c>
      <c r="AC114" s="27">
        <f t="shared" si="47"/>
        <v>6426.4062350599561</v>
      </c>
    </row>
    <row r="115" spans="5:29" x14ac:dyDescent="0.3">
      <c r="E115" s="28">
        <v>2044</v>
      </c>
      <c r="F115" s="28"/>
      <c r="G115" s="28"/>
      <c r="H115" s="30">
        <v>0</v>
      </c>
      <c r="I115" s="30">
        <f t="shared" si="38"/>
        <v>8767.5302653855088</v>
      </c>
      <c r="J115" s="30">
        <f t="shared" si="34"/>
        <v>-8767.5302653855088</v>
      </c>
      <c r="K115" s="28"/>
      <c r="L115" s="28"/>
      <c r="M115" s="28"/>
      <c r="N115" s="28"/>
      <c r="O115" s="28"/>
      <c r="P115" s="30">
        <f t="shared" si="39"/>
        <v>0</v>
      </c>
      <c r="Q115" s="30">
        <f t="shared" si="35"/>
        <v>-8767.5302653855088</v>
      </c>
      <c r="R115" s="28"/>
      <c r="S115" s="30"/>
      <c r="T115" s="28">
        <f t="shared" si="49"/>
        <v>146853.37134515645</v>
      </c>
      <c r="U115" s="30">
        <f t="shared" si="41"/>
        <v>68234.522492233213</v>
      </c>
      <c r="V115" s="30">
        <f t="shared" si="42"/>
        <v>10318.185022585971</v>
      </c>
      <c r="W115" s="30">
        <f t="shared" si="43"/>
        <v>34235.859711458877</v>
      </c>
      <c r="X115" s="30">
        <f t="shared" si="50"/>
        <v>30257.544082108681</v>
      </c>
      <c r="Y115" s="30">
        <f t="shared" si="50"/>
        <v>60095.342200916559</v>
      </c>
      <c r="Z115" s="30">
        <f t="shared" si="45"/>
        <v>38233.520867010149</v>
      </c>
      <c r="AA115" s="30">
        <f t="shared" si="46"/>
        <v>6278.9993264389523</v>
      </c>
      <c r="AB115" s="27">
        <f t="shared" si="36"/>
        <v>394507.34504790884</v>
      </c>
      <c r="AC115" s="27">
        <f t="shared" si="47"/>
        <v>6597.6527497073403</v>
      </c>
    </row>
    <row r="116" spans="5:29" x14ac:dyDescent="0.3">
      <c r="E116" s="28">
        <v>2045</v>
      </c>
      <c r="F116" s="28"/>
      <c r="G116" s="28"/>
      <c r="H116" s="30">
        <v>0</v>
      </c>
      <c r="I116" s="30">
        <f t="shared" si="38"/>
        <v>9030.5561733470749</v>
      </c>
      <c r="J116" s="30">
        <f t="shared" si="34"/>
        <v>-9030.5561733470749</v>
      </c>
      <c r="K116" s="28"/>
      <c r="L116" s="28"/>
      <c r="M116" s="28"/>
      <c r="N116" s="28"/>
      <c r="O116" s="28"/>
      <c r="P116" s="30">
        <f t="shared" si="39"/>
        <v>0</v>
      </c>
      <c r="Q116" s="30">
        <f t="shared" si="35"/>
        <v>-9030.5561733470749</v>
      </c>
      <c r="R116" s="28"/>
      <c r="S116" s="30"/>
      <c r="T116" s="28">
        <f t="shared" si="49"/>
        <v>151258.97248551116</v>
      </c>
      <c r="U116" s="30">
        <f t="shared" si="41"/>
        <v>61198.784407700579</v>
      </c>
      <c r="V116" s="30">
        <f t="shared" si="42"/>
        <v>10576.13964815062</v>
      </c>
      <c r="W116" s="30">
        <f t="shared" si="43"/>
        <v>36118.831995589113</v>
      </c>
      <c r="X116" s="30">
        <f t="shared" si="50"/>
        <v>31921.70900662466</v>
      </c>
      <c r="Y116" s="30">
        <f t="shared" si="50"/>
        <v>63400.58602196697</v>
      </c>
      <c r="Z116" s="30">
        <f t="shared" si="45"/>
        <v>40218.605270425316</v>
      </c>
      <c r="AA116" s="30">
        <f t="shared" si="46"/>
        <v>6592.9492927608999</v>
      </c>
      <c r="AB116" s="27">
        <f t="shared" si="36"/>
        <v>401286.57812872936</v>
      </c>
      <c r="AC116" s="27">
        <f t="shared" si="47"/>
        <v>6779.2330808205297</v>
      </c>
    </row>
    <row r="117" spans="5:29" x14ac:dyDescent="0.3">
      <c r="E117" s="28">
        <v>2046</v>
      </c>
      <c r="F117" s="28"/>
      <c r="G117" s="28"/>
      <c r="H117" s="30">
        <v>0</v>
      </c>
      <c r="I117" s="30">
        <f t="shared" si="38"/>
        <v>9301.4728585474877</v>
      </c>
      <c r="J117" s="30">
        <f t="shared" si="34"/>
        <v>-9301.4728585474877</v>
      </c>
      <c r="K117" s="28"/>
      <c r="L117" s="28"/>
      <c r="M117" s="28"/>
      <c r="N117" s="28"/>
      <c r="O117" s="28"/>
      <c r="P117" s="30">
        <f t="shared" si="39"/>
        <v>0</v>
      </c>
      <c r="Q117" s="30">
        <f t="shared" si="35"/>
        <v>-9301.4728585474877</v>
      </c>
      <c r="R117" s="28"/>
      <c r="S117" s="30"/>
      <c r="T117" s="28">
        <f t="shared" si="49"/>
        <v>155796.74166007648</v>
      </c>
      <c r="U117" s="30">
        <f t="shared" si="41"/>
        <v>53721.453382620944</v>
      </c>
      <c r="V117" s="30">
        <f t="shared" si="42"/>
        <v>10840.543139354386</v>
      </c>
      <c r="W117" s="30">
        <f t="shared" si="43"/>
        <v>38105.367755346517</v>
      </c>
      <c r="X117" s="30">
        <f t="shared" si="50"/>
        <v>33677.40300198902</v>
      </c>
      <c r="Y117" s="30">
        <f t="shared" si="50"/>
        <v>66887.618253175155</v>
      </c>
      <c r="Z117" s="30">
        <f t="shared" si="45"/>
        <v>42306.7552560658</v>
      </c>
      <c r="AA117" s="30">
        <f t="shared" si="46"/>
        <v>6922.5967573989446</v>
      </c>
      <c r="AB117" s="27">
        <f t="shared" si="36"/>
        <v>408258.47920602723</v>
      </c>
      <c r="AC117" s="27">
        <f t="shared" si="47"/>
        <v>6971.9010772978654</v>
      </c>
    </row>
    <row r="118" spans="5:29" x14ac:dyDescent="0.3">
      <c r="E118" s="28">
        <v>2047</v>
      </c>
      <c r="F118" s="28"/>
      <c r="G118" s="28"/>
      <c r="H118" s="30">
        <v>0</v>
      </c>
      <c r="I118" s="30">
        <f t="shared" si="38"/>
        <v>9580.5170443039133</v>
      </c>
      <c r="J118" s="30">
        <f t="shared" si="34"/>
        <v>-9580.5170443039133</v>
      </c>
      <c r="K118" s="28"/>
      <c r="L118" s="28"/>
      <c r="M118" s="28"/>
      <c r="N118" s="28"/>
      <c r="O118" s="28"/>
      <c r="P118" s="30">
        <f t="shared" si="39"/>
        <v>0</v>
      </c>
      <c r="Q118" s="30">
        <f t="shared" si="35"/>
        <v>-9580.5170443039133</v>
      </c>
      <c r="R118" s="28"/>
      <c r="S118" s="30"/>
      <c r="T118" s="28">
        <f t="shared" si="49"/>
        <v>160470.6439098788</v>
      </c>
      <c r="U118" s="30">
        <f t="shared" si="41"/>
        <v>45783.431010924374</v>
      </c>
      <c r="V118" s="30">
        <f t="shared" si="42"/>
        <v>11111.556717838246</v>
      </c>
      <c r="W118" s="30">
        <f t="shared" si="43"/>
        <v>40201.162981890579</v>
      </c>
      <c r="X118" s="30">
        <f t="shared" si="50"/>
        <v>35529.660167098416</v>
      </c>
      <c r="Y118" s="30">
        <f t="shared" si="50"/>
        <v>70566.437257099795</v>
      </c>
      <c r="Z118" s="30">
        <f t="shared" si="45"/>
        <v>44503.321988960735</v>
      </c>
      <c r="AA118" s="30">
        <f t="shared" si="46"/>
        <v>7268.7265952688922</v>
      </c>
      <c r="AB118" s="27">
        <f t="shared" si="36"/>
        <v>415434.9406289598</v>
      </c>
      <c r="AC118" s="27">
        <f t="shared" si="47"/>
        <v>7176.4614229325671</v>
      </c>
    </row>
    <row r="119" spans="5:29" x14ac:dyDescent="0.3">
      <c r="E119" s="28">
        <v>2048</v>
      </c>
      <c r="F119" s="28" t="s">
        <v>51</v>
      </c>
      <c r="G119" s="28"/>
      <c r="H119" s="30">
        <v>0</v>
      </c>
      <c r="I119" s="30">
        <f t="shared" si="38"/>
        <v>9867.9325556330314</v>
      </c>
      <c r="J119" s="30">
        <f t="shared" si="34"/>
        <v>-9867.9325556330314</v>
      </c>
      <c r="K119" s="28"/>
      <c r="L119" s="28"/>
      <c r="M119" s="28"/>
      <c r="N119" s="28"/>
      <c r="O119" s="28"/>
      <c r="P119" s="30">
        <f t="shared" si="39"/>
        <v>0</v>
      </c>
      <c r="Q119" s="30">
        <f t="shared" si="35"/>
        <v>-9867.9325556330314</v>
      </c>
      <c r="R119" s="28"/>
      <c r="S119" s="30"/>
      <c r="T119" s="28">
        <f t="shared" si="49"/>
        <v>165284.76322717516</v>
      </c>
      <c r="U119" s="30">
        <f t="shared" si="41"/>
        <v>37364.897445677721</v>
      </c>
      <c r="V119" s="30">
        <f t="shared" si="42"/>
        <v>11389.345635784202</v>
      </c>
      <c r="W119" s="30">
        <f t="shared" si="43"/>
        <v>42412.226945894559</v>
      </c>
      <c r="X119" s="30">
        <f t="shared" si="50"/>
        <v>37483.791476288832</v>
      </c>
      <c r="Y119" s="30">
        <f t="shared" si="50"/>
        <v>74447.591306240283</v>
      </c>
      <c r="Z119" s="30">
        <f t="shared" si="45"/>
        <v>46813.934466627579</v>
      </c>
      <c r="AA119" s="30">
        <f t="shared" si="46"/>
        <v>7632.1629250323367</v>
      </c>
      <c r="AB119" s="27">
        <f t="shared" si="36"/>
        <v>422828.71342872072</v>
      </c>
      <c r="AC119" s="27">
        <f t="shared" si="47"/>
        <v>7393.7727997609181</v>
      </c>
    </row>
    <row r="120" spans="5:29" x14ac:dyDescent="0.3">
      <c r="E120" s="28">
        <v>2049</v>
      </c>
      <c r="F120" s="28"/>
      <c r="G120" s="28"/>
      <c r="H120" s="30">
        <v>0</v>
      </c>
      <c r="I120" s="30">
        <f t="shared" si="38"/>
        <v>10163.970532302023</v>
      </c>
      <c r="J120" s="30">
        <f t="shared" si="34"/>
        <v>-10163.970532302023</v>
      </c>
      <c r="K120" s="28"/>
      <c r="L120" s="28"/>
      <c r="M120" s="28"/>
      <c r="N120" s="28"/>
      <c r="O120" s="28"/>
      <c r="P120" s="30">
        <f t="shared" si="39"/>
        <v>0</v>
      </c>
      <c r="Q120" s="30">
        <f t="shared" si="35"/>
        <v>-10163.970532302023</v>
      </c>
      <c r="R120" s="28"/>
      <c r="S120" s="30"/>
      <c r="T120" s="28">
        <f t="shared" si="49"/>
        <v>170243.30612399042</v>
      </c>
      <c r="U120" s="30">
        <f t="shared" si="41"/>
        <v>28445.28598721599</v>
      </c>
      <c r="V120" s="30">
        <f t="shared" si="42"/>
        <v>11674.079276678807</v>
      </c>
      <c r="W120" s="30">
        <f t="shared" si="43"/>
        <v>44744.899427918761</v>
      </c>
      <c r="X120" s="30">
        <f t="shared" si="50"/>
        <v>39545.400007484721</v>
      </c>
      <c r="Y120" s="30">
        <f t="shared" si="50"/>
        <v>78542.208828083501</v>
      </c>
      <c r="Z120" s="30">
        <f t="shared" si="45"/>
        <v>49244.51394413488</v>
      </c>
      <c r="AA120" s="30">
        <f t="shared" si="46"/>
        <v>8013.7710712839535</v>
      </c>
      <c r="AB120" s="27">
        <f t="shared" si="36"/>
        <v>430453.46466679109</v>
      </c>
      <c r="AC120" s="27">
        <f t="shared" si="47"/>
        <v>7624.7512380703702</v>
      </c>
    </row>
    <row r="121" spans="5:29" x14ac:dyDescent="0.3">
      <c r="E121" s="28">
        <v>2050</v>
      </c>
      <c r="F121" s="28"/>
      <c r="G121" s="28"/>
      <c r="H121" s="30">
        <v>0</v>
      </c>
      <c r="I121" s="30">
        <f t="shared" si="38"/>
        <v>10468.889648271084</v>
      </c>
      <c r="J121" s="30">
        <f t="shared" si="34"/>
        <v>-10468.889648271084</v>
      </c>
      <c r="K121" s="28"/>
      <c r="L121" s="28"/>
      <c r="M121" s="28"/>
      <c r="N121" s="28"/>
      <c r="O121" s="28"/>
      <c r="P121" s="30">
        <f t="shared" si="39"/>
        <v>0</v>
      </c>
      <c r="Q121" s="30">
        <f t="shared" si="35"/>
        <v>-10468.889648271084</v>
      </c>
      <c r="R121" s="28"/>
      <c r="S121" s="30"/>
      <c r="T121" s="28">
        <f t="shared" si="49"/>
        <v>175350.60530771012</v>
      </c>
      <c r="U121" s="30">
        <f t="shared" si="41"/>
        <v>19003.256813269509</v>
      </c>
      <c r="V121" s="30">
        <f t="shared" si="42"/>
        <v>11965.931258595778</v>
      </c>
      <c r="W121" s="30">
        <f t="shared" si="43"/>
        <v>47205.868896454296</v>
      </c>
      <c r="X121" s="30">
        <f t="shared" si="50"/>
        <v>41720.397007896383</v>
      </c>
      <c r="Y121" s="30">
        <f t="shared" si="50"/>
        <v>82862.0303136281</v>
      </c>
      <c r="Z121" s="30">
        <f t="shared" si="45"/>
        <v>51801.289108114361</v>
      </c>
      <c r="AA121" s="30">
        <f t="shared" si="46"/>
        <v>8414.4596248481503</v>
      </c>
      <c r="AB121" s="27">
        <f t="shared" si="36"/>
        <v>438323.83833051671</v>
      </c>
      <c r="AC121" s="27">
        <f t="shared" si="47"/>
        <v>7870.3736637256225</v>
      </c>
    </row>
    <row r="122" spans="5:29" x14ac:dyDescent="0.3">
      <c r="E122" s="28">
        <v>2051</v>
      </c>
      <c r="F122" s="28"/>
      <c r="G122" s="28"/>
      <c r="H122" s="30">
        <v>0</v>
      </c>
      <c r="I122" s="30">
        <f t="shared" si="38"/>
        <v>10782.956337719217</v>
      </c>
      <c r="J122" s="30">
        <f t="shared" si="34"/>
        <v>-10782.956337719217</v>
      </c>
      <c r="K122" s="28"/>
      <c r="L122" s="28"/>
      <c r="M122" s="28"/>
      <c r="N122" s="28"/>
      <c r="O122" s="28"/>
      <c r="P122" s="30">
        <f t="shared" si="39"/>
        <v>0</v>
      </c>
      <c r="Q122" s="30">
        <f t="shared" si="35"/>
        <v>-10782.956337719217</v>
      </c>
      <c r="R122" s="28"/>
      <c r="S122" s="30"/>
      <c r="T122" s="28">
        <f t="shared" si="49"/>
        <v>180611.12346694144</v>
      </c>
      <c r="U122" s="30">
        <f t="shared" si="41"/>
        <v>9016.6698229192043</v>
      </c>
      <c r="V122" s="30">
        <f t="shared" si="42"/>
        <v>12265.079540060673</v>
      </c>
      <c r="W122" s="30">
        <f t="shared" si="43"/>
        <v>49802.191685759281</v>
      </c>
      <c r="X122" s="30">
        <f t="shared" si="50"/>
        <v>44015.018843330683</v>
      </c>
      <c r="Y122" s="30">
        <f t="shared" si="50"/>
        <v>87419.441980877644</v>
      </c>
      <c r="Z122" s="30">
        <f t="shared" si="45"/>
        <v>54490.812038607663</v>
      </c>
      <c r="AA122" s="30">
        <f t="shared" si="46"/>
        <v>8835.1826060905587</v>
      </c>
      <c r="AB122" s="27">
        <f t="shared" si="36"/>
        <v>446455.51998458715</v>
      </c>
      <c r="AC122" s="27">
        <f t="shared" si="47"/>
        <v>8131.6816540704458</v>
      </c>
    </row>
    <row r="123" spans="5:29" x14ac:dyDescent="0.3">
      <c r="E123" s="28">
        <v>2052</v>
      </c>
      <c r="F123" s="28"/>
      <c r="G123" s="28"/>
      <c r="H123" s="30">
        <v>0</v>
      </c>
      <c r="I123" s="30">
        <f t="shared" si="38"/>
        <v>11106.445027850794</v>
      </c>
      <c r="J123" s="30">
        <f t="shared" si="34"/>
        <v>-11106.445027850794</v>
      </c>
      <c r="K123" s="28"/>
      <c r="L123" s="28"/>
      <c r="M123" s="28"/>
      <c r="N123" s="28"/>
      <c r="O123" s="28"/>
      <c r="P123" s="30">
        <f t="shared" si="39"/>
        <v>0</v>
      </c>
      <c r="Q123" s="30">
        <f t="shared" si="35"/>
        <v>-11106.445027850794</v>
      </c>
      <c r="R123" s="28"/>
      <c r="S123" s="30"/>
      <c r="T123" s="28">
        <f t="shared" si="49"/>
        <v>186029.4571709497</v>
      </c>
      <c r="U123" s="30">
        <f t="shared" si="41"/>
        <v>-1537.4434346943235</v>
      </c>
      <c r="V123" s="30">
        <f t="shared" si="42"/>
        <v>12571.70652856219</v>
      </c>
      <c r="W123" s="30">
        <f t="shared" si="43"/>
        <v>52541.312228476039</v>
      </c>
      <c r="X123" s="30">
        <f t="shared" si="50"/>
        <v>46435.84487971387</v>
      </c>
      <c r="Y123" s="30">
        <f t="shared" si="50"/>
        <v>92227.51128982591</v>
      </c>
      <c r="Z123" s="30">
        <f t="shared" si="45"/>
        <v>57319.974999652171</v>
      </c>
      <c r="AA123" s="30">
        <f t="shared" si="46"/>
        <v>9276.941736395087</v>
      </c>
      <c r="AB123" s="27">
        <f t="shared" si="36"/>
        <v>454865.30539888062</v>
      </c>
      <c r="AC123" s="27">
        <f t="shared" si="47"/>
        <v>8409.7854142934666</v>
      </c>
    </row>
    <row r="124" spans="5:29" x14ac:dyDescent="0.3">
      <c r="E124" s="28">
        <v>2053</v>
      </c>
      <c r="F124" s="28"/>
      <c r="G124" s="28"/>
      <c r="H124" s="30">
        <v>0</v>
      </c>
      <c r="I124" s="30">
        <f t="shared" si="38"/>
        <v>11439.638378686317</v>
      </c>
      <c r="J124" s="30">
        <f t="shared" si="34"/>
        <v>-11439.638378686317</v>
      </c>
      <c r="K124" s="28"/>
      <c r="L124" s="28"/>
      <c r="M124" s="28"/>
      <c r="N124" s="28"/>
      <c r="O124" s="28"/>
      <c r="P124" s="30">
        <f t="shared" si="39"/>
        <v>0</v>
      </c>
      <c r="Q124" s="30">
        <f t="shared" si="35"/>
        <v>-11439.638378686317</v>
      </c>
      <c r="R124" s="28"/>
      <c r="S124" s="30"/>
      <c r="T124" s="28">
        <f t="shared" si="49"/>
        <v>191610.34088607819</v>
      </c>
      <c r="U124" s="30">
        <f t="shared" si="41"/>
        <v>-12643.888462545117</v>
      </c>
      <c r="V124" s="30">
        <f t="shared" si="42"/>
        <v>12885.999191776245</v>
      </c>
      <c r="W124" s="30">
        <f t="shared" si="43"/>
        <v>55431.084401042222</v>
      </c>
      <c r="X124" s="30">
        <f t="shared" si="50"/>
        <v>48989.816348098131</v>
      </c>
      <c r="Y124" s="30">
        <f t="shared" si="50"/>
        <v>97300.024410766331</v>
      </c>
      <c r="Z124" s="30">
        <f t="shared" si="45"/>
        <v>60296.02810163411</v>
      </c>
      <c r="AA124" s="30">
        <f t="shared" si="46"/>
        <v>9740.7888232148416</v>
      </c>
      <c r="AB124" s="27">
        <f t="shared" si="36"/>
        <v>463610.1937000649</v>
      </c>
      <c r="AC124" s="27">
        <f t="shared" si="47"/>
        <v>8744.8883011842845</v>
      </c>
    </row>
    <row r="125" spans="5:29" x14ac:dyDescent="0.3">
      <c r="E125" s="28">
        <v>2054</v>
      </c>
      <c r="F125" s="28"/>
      <c r="G125" s="28"/>
      <c r="H125" s="30">
        <v>0</v>
      </c>
      <c r="I125" s="30">
        <f t="shared" si="38"/>
        <v>11782.827530046907</v>
      </c>
      <c r="J125" s="30">
        <f t="shared" si="34"/>
        <v>-11782.827530046907</v>
      </c>
      <c r="K125" s="28"/>
      <c r="L125" s="28"/>
      <c r="M125" s="28"/>
      <c r="N125" s="28"/>
      <c r="O125" s="28"/>
      <c r="P125" s="30">
        <f t="shared" si="39"/>
        <v>0</v>
      </c>
      <c r="Q125" s="30">
        <f t="shared" si="35"/>
        <v>-11782.827530046907</v>
      </c>
      <c r="R125" s="28"/>
      <c r="S125" s="30"/>
      <c r="T125" s="28">
        <f t="shared" si="49"/>
        <v>197358.65111266053</v>
      </c>
      <c r="U125" s="30">
        <f t="shared" si="41"/>
        <v>-24083.526841231433</v>
      </c>
      <c r="V125" s="30">
        <f t="shared" si="42"/>
        <v>13208.149171570651</v>
      </c>
      <c r="W125" s="30">
        <f t="shared" si="43"/>
        <v>58479.794043099544</v>
      </c>
      <c r="X125" s="30">
        <f t="shared" si="50"/>
        <v>51684.256247243531</v>
      </c>
      <c r="Y125" s="30">
        <f t="shared" si="50"/>
        <v>102651.52575335848</v>
      </c>
      <c r="Z125" s="30">
        <f t="shared" si="45"/>
        <v>63426.597880670954</v>
      </c>
      <c r="AA125" s="30">
        <f t="shared" si="46"/>
        <v>10227.828264375583</v>
      </c>
      <c r="AB125" s="27">
        <f t="shared" si="36"/>
        <v>472953.27563174785</v>
      </c>
      <c r="AC125" s="27">
        <f t="shared" si="47"/>
        <v>9343.0819316829438</v>
      </c>
    </row>
    <row r="126" spans="5:29" x14ac:dyDescent="0.3">
      <c r="E126" s="28">
        <v>2055</v>
      </c>
      <c r="F126" s="28"/>
      <c r="G126" s="28"/>
      <c r="H126" s="30">
        <v>0</v>
      </c>
      <c r="I126" s="30">
        <f t="shared" si="38"/>
        <v>12136.312355948314</v>
      </c>
      <c r="J126" s="30">
        <f t="shared" si="34"/>
        <v>-12136.312355948314</v>
      </c>
      <c r="K126" s="28"/>
      <c r="L126" s="28"/>
      <c r="M126" s="28"/>
      <c r="N126" s="28"/>
      <c r="O126" s="28"/>
      <c r="P126" s="30">
        <f t="shared" si="39"/>
        <v>0</v>
      </c>
      <c r="Q126" s="30">
        <f t="shared" si="35"/>
        <v>-12136.312355948314</v>
      </c>
      <c r="R126" s="28"/>
      <c r="S126" s="30"/>
      <c r="T126" s="28">
        <f t="shared" si="49"/>
        <v>203279.41064604034</v>
      </c>
      <c r="U126" s="30">
        <f t="shared" si="41"/>
        <v>-35866.354371278343</v>
      </c>
      <c r="V126" s="30">
        <f t="shared" si="42"/>
        <v>13538.352900859916</v>
      </c>
      <c r="W126" s="30">
        <f t="shared" si="43"/>
        <v>61696.182715470022</v>
      </c>
      <c r="X126" s="30">
        <f t="shared" si="50"/>
        <v>54526.890340841928</v>
      </c>
      <c r="Y126" s="30">
        <f t="shared" si="50"/>
        <v>108297.35966979319</v>
      </c>
      <c r="Z126" s="30">
        <f t="shared" si="45"/>
        <v>66719.706842635394</v>
      </c>
      <c r="AA126" s="30">
        <f t="shared" si="46"/>
        <v>10739.219677594361</v>
      </c>
      <c r="AB126" s="27">
        <f t="shared" si="36"/>
        <v>482930.7684219568</v>
      </c>
      <c r="AC126" s="27">
        <f t="shared" si="47"/>
        <v>9977.4927902089548</v>
      </c>
    </row>
    <row r="127" spans="5:29" x14ac:dyDescent="0.3">
      <c r="E127" s="28">
        <v>2056</v>
      </c>
      <c r="F127" s="28"/>
      <c r="G127" s="28"/>
      <c r="H127" s="30">
        <v>0</v>
      </c>
      <c r="I127" s="30">
        <f t="shared" si="38"/>
        <v>12500.401726626764</v>
      </c>
      <c r="J127" s="30">
        <f t="shared" si="34"/>
        <v>-12500.401726626764</v>
      </c>
      <c r="K127" s="28"/>
      <c r="L127" s="28"/>
      <c r="M127" s="28"/>
      <c r="N127" s="28"/>
      <c r="O127" s="28"/>
      <c r="P127" s="30">
        <f t="shared" si="39"/>
        <v>0</v>
      </c>
      <c r="Q127" s="30">
        <f t="shared" si="35"/>
        <v>-12500.401726626764</v>
      </c>
      <c r="R127" s="28"/>
      <c r="S127" s="30"/>
      <c r="T127" s="28">
        <f t="shared" si="49"/>
        <v>209377.79296542157</v>
      </c>
      <c r="U127" s="30">
        <f t="shared" si="41"/>
        <v>-48002.666727226657</v>
      </c>
      <c r="V127" s="30">
        <f t="shared" si="42"/>
        <v>13876.811723381414</v>
      </c>
      <c r="W127" s="30">
        <f t="shared" si="43"/>
        <v>65089.472764820872</v>
      </c>
      <c r="X127" s="30">
        <f t="shared" si="50"/>
        <v>57525.869309588234</v>
      </c>
      <c r="Y127" s="30">
        <f t="shared" si="50"/>
        <v>114253.71445163182</v>
      </c>
      <c r="Z127" s="30">
        <f t="shared" si="45"/>
        <v>70183.794021905022</v>
      </c>
      <c r="AA127" s="30">
        <f t="shared" si="46"/>
        <v>11276.18066147408</v>
      </c>
      <c r="AB127" s="27">
        <f t="shared" si="36"/>
        <v>493580.9691709964</v>
      </c>
      <c r="AC127" s="27">
        <f t="shared" si="47"/>
        <v>10650.200749039592</v>
      </c>
    </row>
    <row r="128" spans="5:29" x14ac:dyDescent="0.3">
      <c r="E128" s="28">
        <v>2057</v>
      </c>
      <c r="F128" s="28"/>
      <c r="G128" s="28"/>
      <c r="H128" s="30">
        <v>0</v>
      </c>
      <c r="I128" s="30">
        <f t="shared" si="38"/>
        <v>12875.413778425567</v>
      </c>
      <c r="J128" s="30">
        <f t="shared" si="34"/>
        <v>-12875.413778425567</v>
      </c>
      <c r="K128" s="28"/>
      <c r="L128" s="28"/>
      <c r="M128" s="28"/>
      <c r="N128" s="28"/>
      <c r="O128" s="28"/>
      <c r="P128" s="30">
        <f t="shared" si="39"/>
        <v>0</v>
      </c>
      <c r="Q128" s="30">
        <f t="shared" si="35"/>
        <v>-12875.413778425567</v>
      </c>
      <c r="R128" s="28"/>
      <c r="S128" s="30"/>
      <c r="T128" s="28">
        <f t="shared" si="49"/>
        <v>215659.12675438423</v>
      </c>
      <c r="U128" s="30">
        <f t="shared" si="41"/>
        <v>-60503.068453853419</v>
      </c>
      <c r="V128" s="30">
        <f t="shared" si="42"/>
        <v>14223.732016465949</v>
      </c>
      <c r="W128" s="30">
        <f t="shared" si="43"/>
        <v>68669.393766886016</v>
      </c>
      <c r="X128" s="30">
        <f t="shared" si="50"/>
        <v>60689.792121615588</v>
      </c>
      <c r="Y128" s="30">
        <f t="shared" si="50"/>
        <v>120537.66874647158</v>
      </c>
      <c r="Z128" s="30">
        <f t="shared" si="45"/>
        <v>73827.736607522325</v>
      </c>
      <c r="AA128" s="30">
        <f t="shared" si="46"/>
        <v>11839.989694547783</v>
      </c>
      <c r="AB128" s="27">
        <f t="shared" si="36"/>
        <v>504944.3712540401</v>
      </c>
      <c r="AC128" s="27">
        <f t="shared" si="47"/>
        <v>11363.402083043708</v>
      </c>
    </row>
    <row r="129" spans="5:29" x14ac:dyDescent="0.3">
      <c r="E129" s="28">
        <v>2058</v>
      </c>
      <c r="F129" s="28"/>
      <c r="G129" s="28"/>
      <c r="H129" s="30">
        <v>0</v>
      </c>
      <c r="I129" s="30">
        <f t="shared" si="38"/>
        <v>13261.676191778335</v>
      </c>
      <c r="J129" s="30">
        <f t="shared" si="34"/>
        <v>-13261.676191778335</v>
      </c>
      <c r="K129" s="28"/>
      <c r="L129" s="28"/>
      <c r="M129" s="28"/>
      <c r="N129" s="28"/>
      <c r="O129" s="28"/>
      <c r="P129" s="30">
        <f t="shared" si="39"/>
        <v>0</v>
      </c>
      <c r="Q129" s="30">
        <f t="shared" si="35"/>
        <v>-13261.676191778335</v>
      </c>
      <c r="R129" s="28"/>
      <c r="S129" s="30"/>
      <c r="T129" s="28">
        <f t="shared" si="49"/>
        <v>222128.90055701576</v>
      </c>
      <c r="U129" s="30">
        <f t="shared" si="41"/>
        <v>-73378.482232278984</v>
      </c>
      <c r="V129" s="30">
        <f t="shared" si="42"/>
        <v>14579.325316877597</v>
      </c>
      <c r="W129" s="30">
        <f t="shared" si="43"/>
        <v>72446.210424064746</v>
      </c>
      <c r="X129" s="30">
        <f t="shared" si="50"/>
        <v>64027.730688304444</v>
      </c>
      <c r="Y129" s="30">
        <f t="shared" si="50"/>
        <v>127167.24052752752</v>
      </c>
      <c r="Z129" s="30">
        <f t="shared" si="45"/>
        <v>77660.872692184887</v>
      </c>
      <c r="AA129" s="30">
        <f t="shared" si="46"/>
        <v>12431.989179275171</v>
      </c>
      <c r="AB129" s="27">
        <f t="shared" si="36"/>
        <v>517063.78715297114</v>
      </c>
      <c r="AC129" s="27">
        <f t="shared" si="47"/>
        <v>12119.415898931038</v>
      </c>
    </row>
    <row r="130" spans="5:29" x14ac:dyDescent="0.3">
      <c r="E130" s="28">
        <v>2059</v>
      </c>
      <c r="F130" s="28"/>
      <c r="G130" s="28"/>
      <c r="H130" s="30">
        <v>0</v>
      </c>
      <c r="I130" s="30">
        <f t="shared" si="38"/>
        <v>13659.526477531686</v>
      </c>
      <c r="J130" s="30">
        <f t="shared" si="34"/>
        <v>-13659.526477531686</v>
      </c>
      <c r="K130" s="28"/>
      <c r="L130" s="28"/>
      <c r="M130" s="28"/>
      <c r="N130" s="28"/>
      <c r="O130" s="28"/>
      <c r="P130" s="30">
        <f t="shared" si="39"/>
        <v>0</v>
      </c>
      <c r="Q130" s="30">
        <f t="shared" si="35"/>
        <v>-13659.526477531686</v>
      </c>
      <c r="R130" s="28"/>
      <c r="S130" s="30"/>
      <c r="T130" s="28">
        <f t="shared" si="49"/>
        <v>228792.76757372625</v>
      </c>
      <c r="U130" s="30">
        <f t="shared" si="41"/>
        <v>-86640.158424057314</v>
      </c>
      <c r="V130" s="30">
        <f t="shared" si="42"/>
        <v>14943.808449799537</v>
      </c>
      <c r="W130" s="30">
        <f t="shared" si="43"/>
        <v>76430.751997388303</v>
      </c>
      <c r="X130" s="30">
        <f t="shared" ref="X130:Y136" si="51">X129+X129*$C$17+L129</f>
        <v>67549.255876161187</v>
      </c>
      <c r="Y130" s="30">
        <f t="shared" si="51"/>
        <v>134161.43875654152</v>
      </c>
      <c r="Z130" s="30">
        <f t="shared" si="45"/>
        <v>81693.025202363133</v>
      </c>
      <c r="AA130" s="30">
        <f t="shared" si="46"/>
        <v>13053.588638238931</v>
      </c>
      <c r="AB130" s="27">
        <f t="shared" si="36"/>
        <v>529984.47807016154</v>
      </c>
      <c r="AC130" s="27">
        <f t="shared" si="47"/>
        <v>12920.690917190397</v>
      </c>
    </row>
    <row r="131" spans="5:29" x14ac:dyDescent="0.3">
      <c r="E131" s="28">
        <v>2060</v>
      </c>
      <c r="F131" s="28"/>
      <c r="G131" s="28"/>
      <c r="H131" s="30">
        <v>0</v>
      </c>
      <c r="I131" s="30">
        <f t="shared" si="38"/>
        <v>14069.312271857638</v>
      </c>
      <c r="J131" s="30">
        <f t="shared" si="34"/>
        <v>-14069.312271857638</v>
      </c>
      <c r="K131" s="28"/>
      <c r="L131" s="28"/>
      <c r="M131" s="28"/>
      <c r="N131" s="28"/>
      <c r="O131" s="28"/>
      <c r="P131" s="30">
        <f t="shared" si="39"/>
        <v>0</v>
      </c>
      <c r="Q131" s="30">
        <f t="shared" si="35"/>
        <v>-14069.312271857638</v>
      </c>
      <c r="R131" s="28"/>
      <c r="S131" s="30"/>
      <c r="T131" s="28">
        <f t="shared" si="49"/>
        <v>235656.55060093803</v>
      </c>
      <c r="U131" s="30">
        <f t="shared" si="41"/>
        <v>-100299.684901589</v>
      </c>
      <c r="V131" s="30">
        <f t="shared" si="42"/>
        <v>15317.403661044526</v>
      </c>
      <c r="W131" s="30">
        <f t="shared" si="43"/>
        <v>80634.443357244658</v>
      </c>
      <c r="X131" s="30">
        <f t="shared" si="51"/>
        <v>71264.464949350047</v>
      </c>
      <c r="Y131" s="30">
        <f t="shared" si="51"/>
        <v>141540.3178881513</v>
      </c>
      <c r="Z131" s="30">
        <f t="shared" si="45"/>
        <v>85934.527070869823</v>
      </c>
      <c r="AA131" s="30">
        <f t="shared" si="46"/>
        <v>13706.268070150878</v>
      </c>
      <c r="AB131" s="27">
        <f t="shared" si="36"/>
        <v>543754.29069616017</v>
      </c>
      <c r="AC131" s="27">
        <f t="shared" si="47"/>
        <v>13769.812625998631</v>
      </c>
    </row>
    <row r="132" spans="5:29" x14ac:dyDescent="0.3">
      <c r="E132" s="28">
        <v>2061</v>
      </c>
      <c r="F132" s="28"/>
      <c r="G132" s="28"/>
      <c r="H132" s="30">
        <v>0</v>
      </c>
      <c r="I132" s="30">
        <f t="shared" si="38"/>
        <v>14491.391640013368</v>
      </c>
      <c r="J132" s="30">
        <f t="shared" si="34"/>
        <v>-14491.391640013368</v>
      </c>
      <c r="K132" s="28"/>
      <c r="L132" s="28"/>
      <c r="M132" s="28"/>
      <c r="N132" s="28"/>
      <c r="O132" s="28"/>
      <c r="P132" s="30">
        <f t="shared" si="39"/>
        <v>0</v>
      </c>
      <c r="Q132" s="30">
        <f t="shared" si="35"/>
        <v>-14491.391640013368</v>
      </c>
      <c r="R132" s="28"/>
      <c r="S132" s="30"/>
      <c r="T132" s="28">
        <f t="shared" si="49"/>
        <v>242726.24711896619</v>
      </c>
      <c r="U132" s="30">
        <f t="shared" si="41"/>
        <v>-114368.99717344664</v>
      </c>
      <c r="V132" s="30">
        <f t="shared" si="42"/>
        <v>15700.338752570638</v>
      </c>
      <c r="W132" s="30">
        <f t="shared" si="43"/>
        <v>85069.33774189312</v>
      </c>
      <c r="X132" s="30">
        <f t="shared" si="51"/>
        <v>75184.010521564298</v>
      </c>
      <c r="Y132" s="30">
        <f t="shared" si="51"/>
        <v>149325.03537199963</v>
      </c>
      <c r="Z132" s="30">
        <f t="shared" si="45"/>
        <v>90396.247716389378</v>
      </c>
      <c r="AA132" s="30">
        <f t="shared" si="46"/>
        <v>14391.581473658422</v>
      </c>
      <c r="AB132" s="27">
        <f t="shared" si="36"/>
        <v>558423.801523595</v>
      </c>
      <c r="AC132" s="27">
        <f t="shared" si="47"/>
        <v>14669.510827434831</v>
      </c>
    </row>
    <row r="133" spans="5:29" x14ac:dyDescent="0.3">
      <c r="E133" s="28">
        <v>2062</v>
      </c>
      <c r="H133" s="30">
        <v>0</v>
      </c>
      <c r="I133" s="30">
        <f t="shared" si="38"/>
        <v>14926.133389213768</v>
      </c>
      <c r="J133" s="30">
        <f t="shared" si="34"/>
        <v>-14926.133389213768</v>
      </c>
      <c r="K133" s="28"/>
      <c r="L133" s="28"/>
      <c r="M133" s="28"/>
      <c r="N133" s="28"/>
      <c r="O133" s="28"/>
      <c r="P133" s="30">
        <f t="shared" si="39"/>
        <v>0</v>
      </c>
      <c r="Q133" s="30">
        <f t="shared" si="35"/>
        <v>-14926.133389213768</v>
      </c>
      <c r="R133" s="28"/>
      <c r="S133" s="30"/>
      <c r="T133" s="28">
        <f t="shared" si="49"/>
        <v>250008.03453253518</v>
      </c>
      <c r="U133" s="30">
        <f t="shared" si="41"/>
        <v>-128860.38881346001</v>
      </c>
      <c r="V133" s="30">
        <f t="shared" si="42"/>
        <v>16092.847221384904</v>
      </c>
      <c r="W133" s="30">
        <f t="shared" si="43"/>
        <v>89748.151317697237</v>
      </c>
      <c r="X133" s="30">
        <f t="shared" si="51"/>
        <v>79319.131100250335</v>
      </c>
      <c r="Y133" s="30">
        <f t="shared" si="51"/>
        <v>157537.91231745962</v>
      </c>
      <c r="Z133" s="30">
        <f t="shared" si="45"/>
        <v>95089.620897824323</v>
      </c>
      <c r="AA133" s="30">
        <f t="shared" si="46"/>
        <v>15111.160547341342</v>
      </c>
      <c r="AB133" s="27">
        <f t="shared" si="36"/>
        <v>574046.46912103286</v>
      </c>
      <c r="AC133" s="27">
        <f t="shared" si="47"/>
        <v>15622.66759743786</v>
      </c>
    </row>
    <row r="134" spans="5:29" x14ac:dyDescent="0.3">
      <c r="E134" s="28">
        <v>2063</v>
      </c>
      <c r="H134" s="30">
        <v>0</v>
      </c>
      <c r="I134" s="30">
        <f t="shared" si="38"/>
        <v>15373.917390890181</v>
      </c>
      <c r="J134" s="30">
        <f t="shared" si="34"/>
        <v>-15373.917390890181</v>
      </c>
      <c r="K134" s="28"/>
      <c r="L134" s="28"/>
      <c r="M134" s="28"/>
      <c r="N134" s="28"/>
      <c r="O134" s="28"/>
      <c r="P134" s="30">
        <f t="shared" si="39"/>
        <v>0</v>
      </c>
      <c r="Q134" s="30">
        <f t="shared" si="35"/>
        <v>-15373.917390890181</v>
      </c>
      <c r="R134" s="28"/>
      <c r="S134" s="30"/>
      <c r="T134" s="28">
        <f t="shared" si="49"/>
        <v>257508.27556851125</v>
      </c>
      <c r="U134" s="30">
        <f t="shared" si="41"/>
        <v>-143786.52220267378</v>
      </c>
      <c r="V134" s="30">
        <f t="shared" si="42"/>
        <v>16495.168401919527</v>
      </c>
      <c r="W134" s="30">
        <f t="shared" si="43"/>
        <v>94684.29964017059</v>
      </c>
      <c r="X134" s="30">
        <f t="shared" si="51"/>
        <v>83681.6833107641</v>
      </c>
      <c r="Y134" s="30">
        <f t="shared" si="51"/>
        <v>166202.49749491989</v>
      </c>
      <c r="Z134" s="30">
        <f t="shared" si="45"/>
        <v>100026.67401483936</v>
      </c>
      <c r="AA134" s="30">
        <f t="shared" si="46"/>
        <v>15866.71857470841</v>
      </c>
      <c r="AB134" s="27">
        <f t="shared" si="36"/>
        <v>590678.79480315931</v>
      </c>
      <c r="AC134" s="27">
        <f t="shared" si="47"/>
        <v>16632.325682126451</v>
      </c>
    </row>
    <row r="135" spans="5:29" x14ac:dyDescent="0.3">
      <c r="E135" s="28">
        <v>2064</v>
      </c>
      <c r="H135" s="30">
        <v>0</v>
      </c>
      <c r="I135" s="30">
        <f t="shared" si="38"/>
        <v>15835.134912616886</v>
      </c>
      <c r="J135" s="30">
        <f t="shared" si="34"/>
        <v>-15835.134912616886</v>
      </c>
      <c r="K135" s="28"/>
      <c r="L135" s="28"/>
      <c r="M135" s="28"/>
      <c r="N135" s="28"/>
      <c r="O135" s="28"/>
      <c r="P135" s="30">
        <f t="shared" si="39"/>
        <v>0</v>
      </c>
      <c r="Q135" s="30">
        <f t="shared" si="35"/>
        <v>-15835.134912616886</v>
      </c>
      <c r="R135" s="28"/>
      <c r="S135" s="30"/>
      <c r="T135" s="28">
        <f t="shared" si="49"/>
        <v>265233.52383556659</v>
      </c>
      <c r="U135" s="30">
        <f t="shared" si="41"/>
        <v>-159160.43959356396</v>
      </c>
      <c r="V135" s="30">
        <f t="shared" si="42"/>
        <v>16907.547611967515</v>
      </c>
      <c r="W135" s="30">
        <f t="shared" si="43"/>
        <v>99891.936120379978</v>
      </c>
      <c r="X135" s="30">
        <f t="shared" si="51"/>
        <v>88284.175892856132</v>
      </c>
      <c r="Y135" s="30">
        <f t="shared" si="51"/>
        <v>175343.63485714048</v>
      </c>
      <c r="Z135" s="30">
        <f t="shared" si="45"/>
        <v>105220.05892968983</v>
      </c>
      <c r="AA135" s="30">
        <f t="shared" si="46"/>
        <v>16660.054503443829</v>
      </c>
      <c r="AB135" s="27">
        <f t="shared" si="36"/>
        <v>608380.49215748045</v>
      </c>
      <c r="AC135" s="27">
        <f t="shared" si="47"/>
        <v>17701.697354321135</v>
      </c>
    </row>
    <row r="136" spans="5:29" x14ac:dyDescent="0.3">
      <c r="E136" s="28">
        <v>2065</v>
      </c>
      <c r="H136" s="30">
        <v>0</v>
      </c>
      <c r="I136" s="30">
        <f t="shared" si="38"/>
        <v>16310.188959995394</v>
      </c>
      <c r="J136" s="30">
        <f t="shared" si="34"/>
        <v>-16310.188959995394</v>
      </c>
      <c r="K136" s="28"/>
      <c r="L136" s="28"/>
      <c r="M136" s="28"/>
      <c r="N136" s="28"/>
      <c r="O136" s="28"/>
      <c r="P136" s="30">
        <f t="shared" si="39"/>
        <v>0</v>
      </c>
      <c r="Q136" s="30">
        <f t="shared" si="35"/>
        <v>-16310.188959995394</v>
      </c>
      <c r="R136" s="28"/>
      <c r="S136" s="30"/>
      <c r="T136" s="28">
        <f t="shared" si="49"/>
        <v>273190.52955063363</v>
      </c>
      <c r="U136" s="30">
        <f t="shared" si="41"/>
        <v>-174995.57450618086</v>
      </c>
      <c r="V136" s="30">
        <f t="shared" si="42"/>
        <v>17330.236302266701</v>
      </c>
      <c r="W136" s="30">
        <f t="shared" si="43"/>
        <v>105385.99260700088</v>
      </c>
      <c r="X136" s="30">
        <f t="shared" si="51"/>
        <v>93139.805566963216</v>
      </c>
      <c r="Y136" s="30">
        <f t="shared" si="51"/>
        <v>184987.53477428321</v>
      </c>
      <c r="Z136" s="30">
        <f t="shared" si="45"/>
        <v>110683.08438931932</v>
      </c>
      <c r="AA136" s="30">
        <f t="shared" si="46"/>
        <v>17493.05722861602</v>
      </c>
      <c r="AB136" s="27">
        <f t="shared" si="36"/>
        <v>627214.66591290198</v>
      </c>
      <c r="AC136" s="27">
        <f t="shared" si="47"/>
        <v>18834.173755421536</v>
      </c>
    </row>
    <row r="140" spans="5:29" x14ac:dyDescent="0.3">
      <c r="E140" s="55" t="s">
        <v>78</v>
      </c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7"/>
    </row>
    <row r="141" spans="5:29" x14ac:dyDescent="0.3">
      <c r="E141" s="28"/>
      <c r="F141" s="28"/>
      <c r="G141" s="28"/>
      <c r="H141" s="28"/>
      <c r="I141" s="28"/>
      <c r="J141" s="28"/>
      <c r="K141" s="58" t="s">
        <v>58</v>
      </c>
      <c r="L141" s="58"/>
      <c r="M141" s="58"/>
      <c r="N141" s="58"/>
      <c r="O141" s="58"/>
      <c r="P141" s="58"/>
      <c r="Q141" s="58"/>
      <c r="R141" s="58"/>
      <c r="S141" s="28"/>
      <c r="T141" s="28"/>
      <c r="U141" s="28"/>
      <c r="V141" s="28"/>
      <c r="W141" s="28"/>
      <c r="X141" s="28"/>
      <c r="Y141" s="28"/>
      <c r="Z141" s="28"/>
      <c r="AA141" s="28"/>
    </row>
    <row r="142" spans="5:29" ht="33" x14ac:dyDescent="0.3">
      <c r="E142" s="28"/>
      <c r="F142" s="28" t="s">
        <v>67</v>
      </c>
      <c r="G142" s="29" t="s">
        <v>74</v>
      </c>
      <c r="H142" s="29" t="s">
        <v>73</v>
      </c>
      <c r="I142" s="28" t="s">
        <v>47</v>
      </c>
      <c r="J142" s="28" t="s">
        <v>65</v>
      </c>
      <c r="K142" s="29" t="s">
        <v>66</v>
      </c>
      <c r="L142" s="28" t="s">
        <v>59</v>
      </c>
      <c r="M142" s="28" t="s">
        <v>60</v>
      </c>
      <c r="N142" s="28" t="s">
        <v>57</v>
      </c>
      <c r="O142" s="28" t="s">
        <v>64</v>
      </c>
      <c r="P142" s="28" t="s">
        <v>72</v>
      </c>
      <c r="Q142" s="28" t="s">
        <v>61</v>
      </c>
      <c r="R142" s="28" t="s">
        <v>62</v>
      </c>
      <c r="S142" s="28" t="s">
        <v>27</v>
      </c>
      <c r="T142" s="28" t="s">
        <v>28</v>
      </c>
      <c r="U142" s="28" t="s">
        <v>30</v>
      </c>
      <c r="V142" s="28" t="s">
        <v>34</v>
      </c>
      <c r="W142" s="28" t="s">
        <v>35</v>
      </c>
      <c r="X142" s="28" t="s">
        <v>36</v>
      </c>
      <c r="Y142" s="28" t="s">
        <v>37</v>
      </c>
      <c r="Z142" s="28" t="s">
        <v>38</v>
      </c>
      <c r="AA142" s="28" t="s">
        <v>53</v>
      </c>
      <c r="AB142" s="28" t="s">
        <v>68</v>
      </c>
      <c r="AC142" s="28" t="s">
        <v>70</v>
      </c>
    </row>
    <row r="143" spans="5:29" x14ac:dyDescent="0.3">
      <c r="E143" s="28">
        <v>2025</v>
      </c>
      <c r="F143" s="28"/>
      <c r="G143" s="30">
        <v>12000</v>
      </c>
      <c r="H143" s="30">
        <v>3000</v>
      </c>
      <c r="I143" s="30">
        <v>5000</v>
      </c>
      <c r="J143" s="30">
        <f>G143+H143-I143</f>
        <v>10000</v>
      </c>
      <c r="K143" s="28">
        <v>360</v>
      </c>
      <c r="L143" s="28">
        <v>1200</v>
      </c>
      <c r="M143" s="28">
        <v>2000</v>
      </c>
      <c r="N143" s="28">
        <v>1000</v>
      </c>
      <c r="O143" s="28">
        <v>200</v>
      </c>
      <c r="P143" s="28"/>
      <c r="Q143" s="30">
        <f>J143-K143-L143-M143-N143-O143-P143</f>
        <v>5240</v>
      </c>
      <c r="R143" s="30">
        <v>720</v>
      </c>
      <c r="S143" s="28">
        <v>60000</v>
      </c>
      <c r="T143" s="28"/>
      <c r="U143" s="30">
        <v>41000</v>
      </c>
      <c r="V143" s="30">
        <v>5100</v>
      </c>
      <c r="W143" s="30">
        <v>3400</v>
      </c>
      <c r="X143" s="28">
        <v>0</v>
      </c>
      <c r="Y143" s="30">
        <v>0</v>
      </c>
      <c r="Z143" s="30">
        <v>3500</v>
      </c>
      <c r="AA143" s="30">
        <v>230</v>
      </c>
      <c r="AB143" s="27">
        <f>SUM(S143:AA143)</f>
        <v>113230</v>
      </c>
    </row>
    <row r="144" spans="5:29" x14ac:dyDescent="0.3">
      <c r="E144" s="28">
        <v>2026</v>
      </c>
      <c r="F144" s="28"/>
      <c r="G144" s="30">
        <f>G143*(1+$C$8)</f>
        <v>12240</v>
      </c>
      <c r="H144" s="30">
        <v>3000</v>
      </c>
      <c r="I144" s="30">
        <f>I143*(1+$C$9)</f>
        <v>5150</v>
      </c>
      <c r="J144" s="30">
        <f t="shared" ref="J144:J183" si="52">G144+H144-I144</f>
        <v>10090</v>
      </c>
      <c r="K144" s="28">
        <v>360</v>
      </c>
      <c r="L144" s="28">
        <v>1200</v>
      </c>
      <c r="M144" s="28">
        <v>2000</v>
      </c>
      <c r="N144" s="28">
        <v>1000</v>
      </c>
      <c r="O144" s="28">
        <v>200</v>
      </c>
      <c r="P144" s="30">
        <f>S144-S143</f>
        <v>0</v>
      </c>
      <c r="Q144" s="30">
        <f t="shared" ref="Q144:Q183" si="53">J144-K144-L144-M144-N144-O144-P144</f>
        <v>5330</v>
      </c>
      <c r="R144" s="30">
        <f>R143*($C$8+1)</f>
        <v>734.4</v>
      </c>
      <c r="S144" s="30">
        <v>60000</v>
      </c>
      <c r="T144" s="28"/>
      <c r="U144" s="30">
        <f>IF(U143&gt;0,U143*(1+$C$13),U143)+Q143</f>
        <v>47280.58</v>
      </c>
      <c r="V144" s="30">
        <f>V143*$C$12+V143+K143</f>
        <v>5587.5</v>
      </c>
      <c r="W144" s="30">
        <f>W143+W143*$C$17+R143</f>
        <v>4307</v>
      </c>
      <c r="X144" s="30">
        <f>X143+X143*$C$17+L143</f>
        <v>1200</v>
      </c>
      <c r="Y144" s="30">
        <f>Y143+Y143*$C$17+M143</f>
        <v>2000</v>
      </c>
      <c r="Z144" s="30">
        <f>Z143+Z143*$C$21+N143</f>
        <v>4681.72</v>
      </c>
      <c r="AA144" s="30">
        <f>AA143+AA143*$C$23+O143</f>
        <v>441.5</v>
      </c>
      <c r="AB144" s="27">
        <f t="shared" ref="AB144:AB183" si="54">SUM(S144:AA144)</f>
        <v>125498.3</v>
      </c>
      <c r="AC144" s="27">
        <f>AB144-AB143</f>
        <v>12268.300000000003</v>
      </c>
    </row>
    <row r="145" spans="5:29" x14ac:dyDescent="0.3">
      <c r="E145" s="28">
        <v>2027</v>
      </c>
      <c r="F145" s="28"/>
      <c r="G145" s="30">
        <f t="shared" ref="G145:G159" si="55">G144*(1+$C$8)</f>
        <v>12484.800000000001</v>
      </c>
      <c r="H145" s="30">
        <v>3000</v>
      </c>
      <c r="I145" s="30">
        <f t="shared" ref="I145:I183" si="56">I144*(1+$C$9)</f>
        <v>5304.5</v>
      </c>
      <c r="J145" s="30">
        <f t="shared" si="52"/>
        <v>10180.300000000001</v>
      </c>
      <c r="K145" s="28">
        <v>360</v>
      </c>
      <c r="L145" s="28">
        <v>1200</v>
      </c>
      <c r="M145" s="28">
        <v>2000</v>
      </c>
      <c r="N145" s="28">
        <v>1000</v>
      </c>
      <c r="O145" s="28">
        <v>200</v>
      </c>
      <c r="P145" s="30">
        <f t="shared" ref="P145:P148" si="57">S145-S144</f>
        <v>3000</v>
      </c>
      <c r="Q145" s="30">
        <f t="shared" si="53"/>
        <v>2420.3000000000011</v>
      </c>
      <c r="R145" s="30">
        <f t="shared" ref="R145:R159" si="58">R144*($C$8+1)</f>
        <v>749.08799999999997</v>
      </c>
      <c r="S145" s="30">
        <f>S143*($C$10+1)</f>
        <v>63000</v>
      </c>
      <c r="T145" s="28"/>
      <c r="U145" s="30">
        <f t="shared" ref="U145:U148" si="59">IF(U144&gt;0,U144*(1+$C$13),U144)+Q144</f>
        <v>53810.561120400002</v>
      </c>
      <c r="V145" s="30">
        <f t="shared" ref="V145:V183" si="60">V144*$C$12+V144+K144</f>
        <v>6087.1875</v>
      </c>
      <c r="W145" s="30">
        <f t="shared" ref="W145:W183" si="61">W144+W144*$C$17+R144</f>
        <v>5278.2849999999999</v>
      </c>
      <c r="X145" s="30">
        <f t="shared" ref="X145:Y160" si="62">X144+X144*$C$17+L144</f>
        <v>2466</v>
      </c>
      <c r="Y145" s="30">
        <f t="shared" si="62"/>
        <v>4110</v>
      </c>
      <c r="Z145" s="30">
        <f t="shared" ref="Z145:Z183" si="63">Z144+Z144*$C$21+N144</f>
        <v>5924.7949024</v>
      </c>
      <c r="AA145" s="30">
        <f t="shared" ref="AA145:AA183" si="64">AA144+AA144*$C$23+O144</f>
        <v>663.57500000000005</v>
      </c>
      <c r="AB145" s="27">
        <f t="shared" si="54"/>
        <v>141340.40352280001</v>
      </c>
      <c r="AC145" s="27">
        <f t="shared" ref="AC145:AC183" si="65">AB145-AB144</f>
        <v>15842.103522800011</v>
      </c>
    </row>
    <row r="146" spans="5:29" x14ac:dyDescent="0.3">
      <c r="E146" s="28">
        <v>2028</v>
      </c>
      <c r="F146" s="28" t="s">
        <v>46</v>
      </c>
      <c r="G146" s="30">
        <f t="shared" si="55"/>
        <v>12734.496000000001</v>
      </c>
      <c r="H146" s="30">
        <v>3000</v>
      </c>
      <c r="I146" s="30">
        <f t="shared" si="56"/>
        <v>5463.6350000000002</v>
      </c>
      <c r="J146" s="30">
        <f t="shared" si="52"/>
        <v>10270.861000000001</v>
      </c>
      <c r="K146" s="28">
        <v>360</v>
      </c>
      <c r="L146" s="28">
        <v>1200</v>
      </c>
      <c r="M146" s="28">
        <v>2000</v>
      </c>
      <c r="N146" s="28">
        <v>1000</v>
      </c>
      <c r="O146" s="28">
        <v>200</v>
      </c>
      <c r="P146" s="30">
        <f t="shared" si="57"/>
        <v>0</v>
      </c>
      <c r="Q146" s="30">
        <f t="shared" si="53"/>
        <v>5510.8610000000008</v>
      </c>
      <c r="R146" s="30">
        <f t="shared" si="58"/>
        <v>764.06975999999997</v>
      </c>
      <c r="S146" s="30">
        <f>S144*($C$10+1)</f>
        <v>63000</v>
      </c>
      <c r="T146" s="28"/>
      <c r="U146" s="30">
        <f t="shared" si="59"/>
        <v>57596.573161635752</v>
      </c>
      <c r="V146" s="30">
        <f t="shared" si="60"/>
        <v>6599.3671875</v>
      </c>
      <c r="W146" s="30">
        <f t="shared" si="61"/>
        <v>6317.6786749999992</v>
      </c>
      <c r="X146" s="30">
        <f t="shared" si="62"/>
        <v>3801.63</v>
      </c>
      <c r="Y146" s="30">
        <f t="shared" si="62"/>
        <v>6336.05</v>
      </c>
      <c r="Z146" s="30">
        <f t="shared" si="63"/>
        <v>7232.410253732608</v>
      </c>
      <c r="AA146" s="30">
        <f t="shared" si="64"/>
        <v>896.75375000000008</v>
      </c>
      <c r="AB146" s="27">
        <f t="shared" si="54"/>
        <v>151780.46302786836</v>
      </c>
      <c r="AC146" s="27">
        <f t="shared" si="65"/>
        <v>10440.059505068348</v>
      </c>
    </row>
    <row r="147" spans="5:29" x14ac:dyDescent="0.3">
      <c r="E147" s="28">
        <v>2029</v>
      </c>
      <c r="F147" s="28"/>
      <c r="G147" s="30">
        <f t="shared" si="55"/>
        <v>12989.185920000002</v>
      </c>
      <c r="H147" s="30">
        <v>3000</v>
      </c>
      <c r="I147" s="30">
        <f t="shared" si="56"/>
        <v>5627.5440500000004</v>
      </c>
      <c r="J147" s="30">
        <f t="shared" si="52"/>
        <v>10361.641870000001</v>
      </c>
      <c r="K147" s="28"/>
      <c r="L147" s="28">
        <v>1200</v>
      </c>
      <c r="M147" s="28">
        <v>2000</v>
      </c>
      <c r="N147" s="28">
        <v>1000</v>
      </c>
      <c r="O147" s="28">
        <v>200</v>
      </c>
      <c r="P147" s="30">
        <f t="shared" si="57"/>
        <v>3150</v>
      </c>
      <c r="Q147" s="30">
        <f t="shared" si="53"/>
        <v>2811.6418700000013</v>
      </c>
      <c r="R147" s="30">
        <f t="shared" si="58"/>
        <v>779.35115519999999</v>
      </c>
      <c r="S147" s="30">
        <f t="shared" ref="S147:S148" si="66">S145*($C$10+1)</f>
        <v>66150</v>
      </c>
      <c r="T147" s="28"/>
      <c r="U147" s="30">
        <f t="shared" si="59"/>
        <v>64569.235188478066</v>
      </c>
      <c r="V147" s="30">
        <f t="shared" si="60"/>
        <v>7124.3513671874998</v>
      </c>
      <c r="W147" s="30">
        <f t="shared" si="61"/>
        <v>7429.220762125</v>
      </c>
      <c r="X147" s="30">
        <f t="shared" si="62"/>
        <v>5210.71965</v>
      </c>
      <c r="Y147" s="30">
        <f t="shared" si="62"/>
        <v>8684.5327500000003</v>
      </c>
      <c r="Z147" s="30">
        <f t="shared" si="63"/>
        <v>8607.9169941064047</v>
      </c>
      <c r="AA147" s="30">
        <f t="shared" si="64"/>
        <v>1141.5914375000002</v>
      </c>
      <c r="AB147" s="27">
        <f t="shared" si="54"/>
        <v>168917.568149397</v>
      </c>
      <c r="AC147" s="27">
        <f t="shared" si="65"/>
        <v>17137.105121528642</v>
      </c>
    </row>
    <row r="148" spans="5:29" x14ac:dyDescent="0.3">
      <c r="E148" s="28">
        <v>2030</v>
      </c>
      <c r="F148" s="28"/>
      <c r="G148" s="30">
        <f t="shared" si="55"/>
        <v>13248.969638400002</v>
      </c>
      <c r="H148" s="30">
        <v>3000</v>
      </c>
      <c r="I148" s="30">
        <f t="shared" si="56"/>
        <v>5796.3703715000001</v>
      </c>
      <c r="J148" s="30">
        <f t="shared" si="52"/>
        <v>10452.599266900001</v>
      </c>
      <c r="K148" s="28"/>
      <c r="L148" s="28">
        <v>1200</v>
      </c>
      <c r="M148" s="28">
        <v>2000</v>
      </c>
      <c r="N148" s="28">
        <v>1000</v>
      </c>
      <c r="O148" s="28">
        <v>200</v>
      </c>
      <c r="P148" s="30">
        <f t="shared" si="57"/>
        <v>0</v>
      </c>
      <c r="Q148" s="30">
        <f t="shared" si="53"/>
        <v>6052.5992669000007</v>
      </c>
      <c r="R148" s="30">
        <f t="shared" si="58"/>
        <v>794.93817830399996</v>
      </c>
      <c r="S148" s="30">
        <f t="shared" si="66"/>
        <v>66150</v>
      </c>
      <c r="U148" s="30">
        <f t="shared" si="59"/>
        <v>69019.64424756165</v>
      </c>
      <c r="V148" s="30">
        <f t="shared" si="60"/>
        <v>7302.4601513671878</v>
      </c>
      <c r="W148" s="30">
        <f t="shared" si="61"/>
        <v>8617.1790592418747</v>
      </c>
      <c r="X148" s="30">
        <f t="shared" si="62"/>
        <v>6697.3092307500001</v>
      </c>
      <c r="Y148" s="30">
        <f t="shared" si="62"/>
        <v>11162.18205125</v>
      </c>
      <c r="Z148" s="30">
        <f t="shared" si="63"/>
        <v>10054.840044440409</v>
      </c>
      <c r="AA148" s="30">
        <f t="shared" si="64"/>
        <v>1398.6710093750003</v>
      </c>
      <c r="AB148" s="27">
        <f t="shared" si="54"/>
        <v>180402.28579398608</v>
      </c>
      <c r="AC148" s="27">
        <f t="shared" si="65"/>
        <v>11484.71764458908</v>
      </c>
    </row>
    <row r="149" spans="5:29" x14ac:dyDescent="0.3">
      <c r="E149" s="28">
        <v>2031</v>
      </c>
      <c r="F149" s="28"/>
      <c r="G149" s="30">
        <f t="shared" si="55"/>
        <v>13513.949031168002</v>
      </c>
      <c r="H149" s="30">
        <v>3000</v>
      </c>
      <c r="I149" s="30">
        <f t="shared" si="56"/>
        <v>5970.2614826449999</v>
      </c>
      <c r="J149" s="30">
        <f t="shared" si="52"/>
        <v>10543.687548523001</v>
      </c>
      <c r="K149" s="28"/>
      <c r="L149" s="28">
        <v>1200</v>
      </c>
      <c r="M149" s="28">
        <v>2000</v>
      </c>
      <c r="N149" s="28">
        <v>1000</v>
      </c>
      <c r="O149" s="28">
        <v>200</v>
      </c>
      <c r="P149" s="30">
        <v>0</v>
      </c>
      <c r="Q149" s="30">
        <f t="shared" si="53"/>
        <v>6143.6875485230012</v>
      </c>
      <c r="R149" s="30">
        <f t="shared" si="58"/>
        <v>810.83694187007995</v>
      </c>
      <c r="S149" s="30"/>
      <c r="T149" s="28">
        <v>100000</v>
      </c>
      <c r="U149" s="30">
        <f>IF(U148&gt;0,U148*(1+$C$13),U148)+Q148-(T149-S148)</f>
        <v>42973.962085464766</v>
      </c>
      <c r="V149" s="30">
        <f t="shared" si="60"/>
        <v>7485.0216551513677</v>
      </c>
      <c r="W149" s="30">
        <f t="shared" si="61"/>
        <v>9886.0620858041784</v>
      </c>
      <c r="X149" s="30">
        <f t="shared" si="62"/>
        <v>8265.661238441251</v>
      </c>
      <c r="Y149" s="30">
        <f t="shared" si="62"/>
        <v>13776.102064068749</v>
      </c>
      <c r="Z149" s="30">
        <f t="shared" si="63"/>
        <v>11576.887339547755</v>
      </c>
      <c r="AA149" s="30">
        <f t="shared" si="64"/>
        <v>1668.6045598437504</v>
      </c>
      <c r="AB149" s="27">
        <f t="shared" si="54"/>
        <v>195632.30102832179</v>
      </c>
      <c r="AC149" s="27">
        <f t="shared" si="65"/>
        <v>15230.015234335704</v>
      </c>
    </row>
    <row r="150" spans="5:29" x14ac:dyDescent="0.3">
      <c r="E150" s="28">
        <v>2032</v>
      </c>
      <c r="F150" s="28"/>
      <c r="G150" s="30">
        <f t="shared" si="55"/>
        <v>13784.228011791361</v>
      </c>
      <c r="H150" s="30">
        <v>3000</v>
      </c>
      <c r="I150" s="30">
        <f t="shared" si="56"/>
        <v>6149.3693271243501</v>
      </c>
      <c r="J150" s="30">
        <f t="shared" si="52"/>
        <v>10634.858684667011</v>
      </c>
      <c r="K150" s="28"/>
      <c r="L150" s="28">
        <v>1200</v>
      </c>
      <c r="M150" s="28">
        <v>2000</v>
      </c>
      <c r="N150" s="28">
        <v>1000</v>
      </c>
      <c r="O150" s="28">
        <v>200</v>
      </c>
      <c r="P150" s="30">
        <f t="shared" ref="P150:P183" si="67">S150-S149</f>
        <v>0</v>
      </c>
      <c r="Q150" s="30">
        <f t="shared" si="53"/>
        <v>6234.8586846670114</v>
      </c>
      <c r="R150" s="30">
        <f t="shared" si="58"/>
        <v>827.05368070748159</v>
      </c>
      <c r="S150" s="30"/>
      <c r="T150" s="28">
        <f>T149*(1+$C$2)</f>
        <v>103000</v>
      </c>
      <c r="U150" s="30">
        <f t="shared" ref="U150:U183" si="68">IF(U149&gt;0,U149*(1+$C$13),U149)+Q149</f>
        <v>50208.328791716864</v>
      </c>
      <c r="V150" s="30">
        <f t="shared" si="60"/>
        <v>7672.1471965301516</v>
      </c>
      <c r="W150" s="30">
        <f t="shared" si="61"/>
        <v>11240.632442393489</v>
      </c>
      <c r="X150" s="30">
        <f t="shared" si="62"/>
        <v>9920.2726065555198</v>
      </c>
      <c r="Y150" s="30">
        <f t="shared" si="62"/>
        <v>16533.787677592532</v>
      </c>
      <c r="Z150" s="30">
        <f t="shared" si="63"/>
        <v>13177.959330217074</v>
      </c>
      <c r="AA150" s="30">
        <f t="shared" si="64"/>
        <v>1952.034787835938</v>
      </c>
      <c r="AB150" s="27">
        <f t="shared" si="54"/>
        <v>213705.16283284157</v>
      </c>
      <c r="AC150" s="27">
        <f t="shared" si="65"/>
        <v>18072.86180451978</v>
      </c>
    </row>
    <row r="151" spans="5:29" x14ac:dyDescent="0.3">
      <c r="E151" s="28">
        <v>2033</v>
      </c>
      <c r="F151" s="28"/>
      <c r="G151" s="30">
        <f t="shared" si="55"/>
        <v>14059.91257202719</v>
      </c>
      <c r="H151" s="30">
        <v>3000</v>
      </c>
      <c r="I151" s="30">
        <f t="shared" si="56"/>
        <v>6333.8504069380806</v>
      </c>
      <c r="J151" s="30">
        <f t="shared" si="52"/>
        <v>10726.062165089112</v>
      </c>
      <c r="K151" s="28"/>
      <c r="L151" s="28">
        <v>1200</v>
      </c>
      <c r="M151" s="28">
        <v>2000</v>
      </c>
      <c r="N151" s="28">
        <v>1000</v>
      </c>
      <c r="O151" s="28">
        <v>200</v>
      </c>
      <c r="P151" s="30">
        <f t="shared" si="67"/>
        <v>0</v>
      </c>
      <c r="Q151" s="30">
        <f t="shared" si="53"/>
        <v>6326.0621650891117</v>
      </c>
      <c r="R151" s="30">
        <f t="shared" si="58"/>
        <v>843.59475432163129</v>
      </c>
      <c r="S151" s="30"/>
      <c r="T151" s="28">
        <f t="shared" ref="T151:T183" si="69">T150*(1+$C$2)</f>
        <v>106090</v>
      </c>
      <c r="U151" s="30">
        <f t="shared" si="68"/>
        <v>57717.474861117647</v>
      </c>
      <c r="V151" s="30">
        <f t="shared" si="60"/>
        <v>7863.9508764434058</v>
      </c>
      <c r="W151" s="30">
        <f t="shared" si="61"/>
        <v>12685.920907432614</v>
      </c>
      <c r="X151" s="30">
        <f t="shared" si="62"/>
        <v>11665.887599916074</v>
      </c>
      <c r="Y151" s="30">
        <f t="shared" si="62"/>
        <v>19443.14599986012</v>
      </c>
      <c r="Z151" s="30">
        <f t="shared" si="63"/>
        <v>14862.158978641944</v>
      </c>
      <c r="AA151" s="30">
        <f t="shared" si="64"/>
        <v>2249.6365272277349</v>
      </c>
      <c r="AB151" s="27">
        <f t="shared" si="54"/>
        <v>232578.17575063958</v>
      </c>
      <c r="AC151" s="27">
        <f t="shared" si="65"/>
        <v>18873.012917798012</v>
      </c>
    </row>
    <row r="152" spans="5:29" x14ac:dyDescent="0.3">
      <c r="E152" s="28">
        <v>2034</v>
      </c>
      <c r="F152" s="28"/>
      <c r="G152" s="30">
        <f t="shared" si="55"/>
        <v>14341.110823467734</v>
      </c>
      <c r="H152" s="30">
        <v>3000</v>
      </c>
      <c r="I152" s="30">
        <f t="shared" si="56"/>
        <v>6523.865919146223</v>
      </c>
      <c r="J152" s="30">
        <f t="shared" si="52"/>
        <v>10817.244904321511</v>
      </c>
      <c r="K152" s="28"/>
      <c r="L152" s="28">
        <v>1200</v>
      </c>
      <c r="M152" s="28">
        <v>2000</v>
      </c>
      <c r="N152" s="28">
        <v>1000</v>
      </c>
      <c r="O152" s="28">
        <v>200</v>
      </c>
      <c r="P152" s="30">
        <f t="shared" si="67"/>
        <v>0</v>
      </c>
      <c r="Q152" s="30">
        <f t="shared" si="53"/>
        <v>6417.2449043215111</v>
      </c>
      <c r="R152" s="30">
        <f t="shared" si="58"/>
        <v>860.46664940806397</v>
      </c>
      <c r="S152" s="30"/>
      <c r="T152" s="28">
        <f t="shared" si="69"/>
        <v>109272.7</v>
      </c>
      <c r="U152" s="30">
        <f t="shared" si="68"/>
        <v>65508.406538181924</v>
      </c>
      <c r="V152" s="30">
        <f t="shared" si="60"/>
        <v>8060.5496483544912</v>
      </c>
      <c r="W152" s="30">
        <f t="shared" si="61"/>
        <v>14227.24131166304</v>
      </c>
      <c r="X152" s="30">
        <f t="shared" si="62"/>
        <v>13507.511417911457</v>
      </c>
      <c r="Y152" s="30">
        <f t="shared" si="62"/>
        <v>22512.519029852429</v>
      </c>
      <c r="Z152" s="30">
        <f t="shared" si="63"/>
        <v>16633.802272813035</v>
      </c>
      <c r="AA152" s="30">
        <f t="shared" si="64"/>
        <v>2562.1183535891214</v>
      </c>
      <c r="AB152" s="27">
        <f t="shared" si="54"/>
        <v>252284.8485723655</v>
      </c>
      <c r="AC152" s="27">
        <f t="shared" si="65"/>
        <v>19706.672821725922</v>
      </c>
    </row>
    <row r="153" spans="5:29" x14ac:dyDescent="0.3">
      <c r="E153" s="28">
        <v>2035</v>
      </c>
      <c r="F153" s="28"/>
      <c r="G153" s="30">
        <f t="shared" si="55"/>
        <v>14627.933039937088</v>
      </c>
      <c r="H153" s="30">
        <v>3000</v>
      </c>
      <c r="I153" s="30">
        <f t="shared" si="56"/>
        <v>6719.5818967206096</v>
      </c>
      <c r="J153" s="30">
        <f t="shared" si="52"/>
        <v>10908.351143216478</v>
      </c>
      <c r="K153" s="28"/>
      <c r="L153" s="28">
        <v>1200</v>
      </c>
      <c r="M153" s="28">
        <v>2000</v>
      </c>
      <c r="N153" s="28">
        <v>1000</v>
      </c>
      <c r="O153" s="28">
        <v>200</v>
      </c>
      <c r="P153" s="30">
        <f t="shared" si="67"/>
        <v>0</v>
      </c>
      <c r="Q153" s="30">
        <f t="shared" si="53"/>
        <v>6508.3511432164778</v>
      </c>
      <c r="R153" s="30">
        <f t="shared" si="58"/>
        <v>877.67598239622532</v>
      </c>
      <c r="S153" s="30"/>
      <c r="T153" s="28">
        <f t="shared" si="69"/>
        <v>112550.88099999999</v>
      </c>
      <c r="U153" s="30">
        <f t="shared" si="68"/>
        <v>73588.25480044249</v>
      </c>
      <c r="V153" s="30">
        <f t="shared" si="60"/>
        <v>8262.0633895633528</v>
      </c>
      <c r="W153" s="30">
        <f t="shared" si="61"/>
        <v>15870.206233212572</v>
      </c>
      <c r="X153" s="30">
        <f t="shared" si="62"/>
        <v>15450.424545896587</v>
      </c>
      <c r="Y153" s="30">
        <f t="shared" si="62"/>
        <v>25750.707576494311</v>
      </c>
      <c r="Z153" s="30">
        <f t="shared" si="63"/>
        <v>18497.429286817489</v>
      </c>
      <c r="AA153" s="30">
        <f t="shared" si="64"/>
        <v>2890.2242712685775</v>
      </c>
      <c r="AB153" s="27">
        <f t="shared" si="54"/>
        <v>272860.19110369537</v>
      </c>
      <c r="AC153" s="27">
        <f t="shared" si="65"/>
        <v>20575.342531329865</v>
      </c>
    </row>
    <row r="154" spans="5:29" x14ac:dyDescent="0.3">
      <c r="E154" s="28">
        <v>2036</v>
      </c>
      <c r="F154" s="28"/>
      <c r="G154" s="30">
        <f t="shared" si="55"/>
        <v>14920.491700735831</v>
      </c>
      <c r="H154" s="30">
        <v>3000</v>
      </c>
      <c r="I154" s="30">
        <f t="shared" si="56"/>
        <v>6921.1693536222283</v>
      </c>
      <c r="J154" s="30">
        <f t="shared" si="52"/>
        <v>10999.322347113603</v>
      </c>
      <c r="K154" s="28"/>
      <c r="L154" s="28">
        <v>1200</v>
      </c>
      <c r="M154" s="28">
        <v>2000</v>
      </c>
      <c r="N154" s="28">
        <v>1000</v>
      </c>
      <c r="O154" s="28">
        <v>200</v>
      </c>
      <c r="P154" s="30">
        <f t="shared" si="67"/>
        <v>0</v>
      </c>
      <c r="Q154" s="30">
        <f t="shared" si="53"/>
        <v>6599.3223471136025</v>
      </c>
      <c r="R154" s="30">
        <f t="shared" si="58"/>
        <v>895.22950204414985</v>
      </c>
      <c r="S154" s="30"/>
      <c r="T154" s="28">
        <f t="shared" si="69"/>
        <v>115927.40742999999</v>
      </c>
      <c r="U154" s="30">
        <f t="shared" si="68"/>
        <v>81964.275850494203</v>
      </c>
      <c r="V154" s="30">
        <f t="shared" si="60"/>
        <v>8468.6149743024362</v>
      </c>
      <c r="W154" s="30">
        <f t="shared" si="61"/>
        <v>17620.743558435486</v>
      </c>
      <c r="X154" s="30">
        <f t="shared" si="62"/>
        <v>17500.197895920901</v>
      </c>
      <c r="Y154" s="30">
        <f t="shared" si="62"/>
        <v>29166.996493201499</v>
      </c>
      <c r="Z154" s="30">
        <f t="shared" si="63"/>
        <v>20457.815815389054</v>
      </c>
      <c r="AA154" s="30">
        <f t="shared" si="64"/>
        <v>3234.7354848320065</v>
      </c>
      <c r="AB154" s="27">
        <f t="shared" si="54"/>
        <v>294340.78750257561</v>
      </c>
      <c r="AC154" s="27">
        <f t="shared" si="65"/>
        <v>21480.59639888024</v>
      </c>
    </row>
    <row r="155" spans="5:29" x14ac:dyDescent="0.3">
      <c r="E155" s="28">
        <v>2037</v>
      </c>
      <c r="F155" s="28"/>
      <c r="G155" s="30">
        <f t="shared" si="55"/>
        <v>15218.901534750548</v>
      </c>
      <c r="H155" s="30">
        <v>3000</v>
      </c>
      <c r="I155" s="30">
        <f t="shared" si="56"/>
        <v>7128.8044342308949</v>
      </c>
      <c r="J155" s="30">
        <f t="shared" si="52"/>
        <v>11090.097100519653</v>
      </c>
      <c r="K155" s="28"/>
      <c r="L155" s="28">
        <v>1200</v>
      </c>
      <c r="M155" s="28">
        <v>2000</v>
      </c>
      <c r="N155" s="28">
        <v>1000</v>
      </c>
      <c r="O155" s="28">
        <v>200</v>
      </c>
      <c r="P155" s="30">
        <f t="shared" si="67"/>
        <v>0</v>
      </c>
      <c r="Q155" s="30">
        <f t="shared" si="53"/>
        <v>6690.0971005196534</v>
      </c>
      <c r="R155" s="30">
        <f t="shared" si="58"/>
        <v>913.13409208503288</v>
      </c>
      <c r="S155" s="30"/>
      <c r="T155" s="28">
        <f t="shared" si="69"/>
        <v>119405.2296529</v>
      </c>
      <c r="U155" s="30">
        <f t="shared" si="68"/>
        <v>90643.851518693336</v>
      </c>
      <c r="V155" s="30">
        <f t="shared" si="60"/>
        <v>8680.330348659998</v>
      </c>
      <c r="W155" s="30">
        <f t="shared" si="61"/>
        <v>19485.113956193585</v>
      </c>
      <c r="X155" s="30">
        <f t="shared" si="62"/>
        <v>19662.70878019655</v>
      </c>
      <c r="Y155" s="30">
        <f t="shared" si="62"/>
        <v>32771.181300327582</v>
      </c>
      <c r="Z155" s="30">
        <f t="shared" si="63"/>
        <v>22519.985612524055</v>
      </c>
      <c r="AA155" s="30">
        <f t="shared" si="64"/>
        <v>3596.4722590736069</v>
      </c>
      <c r="AB155" s="27">
        <f t="shared" si="54"/>
        <v>316764.87342856871</v>
      </c>
      <c r="AC155" s="27">
        <f t="shared" si="65"/>
        <v>22424.085925993102</v>
      </c>
    </row>
    <row r="156" spans="5:29" x14ac:dyDescent="0.3">
      <c r="E156" s="28">
        <v>2038</v>
      </c>
      <c r="F156" s="28" t="s">
        <v>50</v>
      </c>
      <c r="G156" s="30">
        <f t="shared" si="55"/>
        <v>15523.27956544556</v>
      </c>
      <c r="H156" s="30">
        <v>3000</v>
      </c>
      <c r="I156" s="30">
        <f t="shared" si="56"/>
        <v>7342.6685672578224</v>
      </c>
      <c r="J156" s="30">
        <f t="shared" si="52"/>
        <v>11180.61099818774</v>
      </c>
      <c r="K156" s="28"/>
      <c r="L156" s="28"/>
      <c r="M156" s="28">
        <v>2000</v>
      </c>
      <c r="N156" s="28">
        <v>1000</v>
      </c>
      <c r="O156" s="28">
        <v>200</v>
      </c>
      <c r="P156" s="30">
        <f t="shared" si="67"/>
        <v>0</v>
      </c>
      <c r="Q156" s="30">
        <f t="shared" si="53"/>
        <v>7980.6109981877398</v>
      </c>
      <c r="R156" s="30">
        <f t="shared" si="58"/>
        <v>931.39677392673354</v>
      </c>
      <c r="S156" s="30"/>
      <c r="T156" s="28">
        <f t="shared" si="69"/>
        <v>122987.386542487</v>
      </c>
      <c r="U156" s="30">
        <f t="shared" si="68"/>
        <v>99634.489570757418</v>
      </c>
      <c r="V156" s="30">
        <f t="shared" si="60"/>
        <v>8897.3386073764977</v>
      </c>
      <c r="W156" s="30">
        <f t="shared" si="61"/>
        <v>21469.929315869267</v>
      </c>
      <c r="X156" s="30">
        <f t="shared" si="62"/>
        <v>21944.15776310736</v>
      </c>
      <c r="Y156" s="30">
        <f t="shared" si="62"/>
        <v>36573.596271845599</v>
      </c>
      <c r="Z156" s="30">
        <f t="shared" si="63"/>
        <v>24689.223265526303</v>
      </c>
      <c r="AA156" s="30">
        <f t="shared" si="64"/>
        <v>3976.2958720272873</v>
      </c>
      <c r="AB156" s="27">
        <f t="shared" si="54"/>
        <v>340172.41720899678</v>
      </c>
      <c r="AC156" s="27">
        <f t="shared" si="65"/>
        <v>23407.543780428066</v>
      </c>
    </row>
    <row r="157" spans="5:29" x14ac:dyDescent="0.3">
      <c r="E157" s="28">
        <v>2039</v>
      </c>
      <c r="F157" s="28"/>
      <c r="G157" s="30">
        <f t="shared" si="55"/>
        <v>15833.745156754472</v>
      </c>
      <c r="H157" s="30">
        <v>3000</v>
      </c>
      <c r="I157" s="30">
        <f t="shared" si="56"/>
        <v>7562.9486242755574</v>
      </c>
      <c r="J157" s="30">
        <f t="shared" si="52"/>
        <v>11270.796532478913</v>
      </c>
      <c r="K157" s="28"/>
      <c r="L157" s="28"/>
      <c r="M157" s="28">
        <v>2000</v>
      </c>
      <c r="N157" s="28">
        <v>1000</v>
      </c>
      <c r="O157" s="28">
        <v>200</v>
      </c>
      <c r="P157" s="30">
        <f t="shared" si="67"/>
        <v>0</v>
      </c>
      <c r="Q157" s="30">
        <f t="shared" si="53"/>
        <v>8070.7965324789129</v>
      </c>
      <c r="R157" s="30">
        <f t="shared" si="58"/>
        <v>950.02470940526825</v>
      </c>
      <c r="S157" s="30"/>
      <c r="T157" s="28">
        <f t="shared" si="69"/>
        <v>126677.00813876161</v>
      </c>
      <c r="U157" s="30">
        <f t="shared" si="68"/>
        <v>110143.82391425097</v>
      </c>
      <c r="V157" s="30">
        <f t="shared" si="60"/>
        <v>9119.7720725609106</v>
      </c>
      <c r="W157" s="30">
        <f t="shared" si="61"/>
        <v>23582.172202168807</v>
      </c>
      <c r="X157" s="30">
        <f t="shared" si="62"/>
        <v>23151.086440078263</v>
      </c>
      <c r="Y157" s="30">
        <f t="shared" si="62"/>
        <v>40585.144066797111</v>
      </c>
      <c r="Z157" s="30">
        <f t="shared" si="63"/>
        <v>26971.08773747243</v>
      </c>
      <c r="AA157" s="30">
        <f t="shared" si="64"/>
        <v>4375.110665628652</v>
      </c>
      <c r="AB157" s="27">
        <f t="shared" si="54"/>
        <v>364605.20523771871</v>
      </c>
      <c r="AC157" s="27">
        <f t="shared" si="65"/>
        <v>24432.78802872193</v>
      </c>
    </row>
    <row r="158" spans="5:29" x14ac:dyDescent="0.3">
      <c r="E158" s="28">
        <v>2040</v>
      </c>
      <c r="F158" s="28"/>
      <c r="G158" s="30">
        <f t="shared" si="55"/>
        <v>16150.420059889562</v>
      </c>
      <c r="H158" s="30">
        <v>3000</v>
      </c>
      <c r="I158" s="30">
        <f t="shared" si="56"/>
        <v>7789.8370830038248</v>
      </c>
      <c r="J158" s="30">
        <f t="shared" si="52"/>
        <v>11360.582976885737</v>
      </c>
      <c r="K158" s="28"/>
      <c r="L158" s="28"/>
      <c r="M158" s="28">
        <v>2000</v>
      </c>
      <c r="N158" s="28">
        <v>1000</v>
      </c>
      <c r="O158" s="28">
        <v>200</v>
      </c>
      <c r="P158" s="30">
        <f t="shared" si="67"/>
        <v>0</v>
      </c>
      <c r="Q158" s="30">
        <f t="shared" si="53"/>
        <v>8160.5829768857366</v>
      </c>
      <c r="R158" s="30">
        <f t="shared" si="58"/>
        <v>969.02520359337359</v>
      </c>
      <c r="S158" s="30"/>
      <c r="T158" s="28">
        <f t="shared" si="69"/>
        <v>130477.31838292447</v>
      </c>
      <c r="U158" s="30">
        <f t="shared" si="68"/>
        <v>121010.07069767357</v>
      </c>
      <c r="V158" s="30">
        <f t="shared" si="60"/>
        <v>9347.7663743749326</v>
      </c>
      <c r="W158" s="30">
        <f t="shared" si="61"/>
        <v>25829.216382693361</v>
      </c>
      <c r="X158" s="30">
        <f t="shared" si="62"/>
        <v>24424.396194282566</v>
      </c>
      <c r="Y158" s="30">
        <f t="shared" si="62"/>
        <v>44817.326990470952</v>
      </c>
      <c r="Z158" s="30">
        <f t="shared" si="63"/>
        <v>29371.426612801999</v>
      </c>
      <c r="AA158" s="30">
        <f t="shared" si="64"/>
        <v>4793.8661989100847</v>
      </c>
      <c r="AB158" s="27">
        <f t="shared" si="54"/>
        <v>390071.38783413195</v>
      </c>
      <c r="AC158" s="27">
        <f t="shared" si="65"/>
        <v>25466.182596413244</v>
      </c>
    </row>
    <row r="159" spans="5:29" x14ac:dyDescent="0.3">
      <c r="E159" s="28">
        <v>2041</v>
      </c>
      <c r="F159" s="28" t="s">
        <v>71</v>
      </c>
      <c r="G159" s="30">
        <f t="shared" si="55"/>
        <v>16473.428461087355</v>
      </c>
      <c r="H159" s="30">
        <v>3000</v>
      </c>
      <c r="I159" s="30">
        <f t="shared" si="56"/>
        <v>8023.53219549394</v>
      </c>
      <c r="J159" s="30">
        <f t="shared" si="52"/>
        <v>11449.896265593416</v>
      </c>
      <c r="K159" s="28"/>
      <c r="L159" s="28"/>
      <c r="M159" s="28">
        <v>2000</v>
      </c>
      <c r="N159" s="28">
        <v>1000</v>
      </c>
      <c r="O159" s="28">
        <v>200</v>
      </c>
      <c r="P159" s="30">
        <f t="shared" si="67"/>
        <v>0</v>
      </c>
      <c r="Q159" s="30">
        <f t="shared" si="53"/>
        <v>8249.8962655934156</v>
      </c>
      <c r="R159" s="30">
        <f t="shared" si="58"/>
        <v>988.40570766524104</v>
      </c>
      <c r="S159" s="30"/>
      <c r="T159" s="28">
        <f t="shared" si="69"/>
        <v>134391.6379344122</v>
      </c>
      <c r="U159" s="30">
        <f t="shared" si="68"/>
        <v>132241.88926886627</v>
      </c>
      <c r="V159" s="30">
        <f t="shared" si="60"/>
        <v>9581.4605337343055</v>
      </c>
      <c r="W159" s="30">
        <f t="shared" si="61"/>
        <v>28218.848487334872</v>
      </c>
      <c r="X159" s="30">
        <f t="shared" si="62"/>
        <v>25767.737984968109</v>
      </c>
      <c r="Y159" s="30">
        <f t="shared" si="62"/>
        <v>49282.279974946854</v>
      </c>
      <c r="Z159" s="30">
        <f t="shared" si="63"/>
        <v>31896.391082538677</v>
      </c>
      <c r="AA159" s="30">
        <f t="shared" si="64"/>
        <v>5233.5595088555892</v>
      </c>
      <c r="AB159" s="27">
        <f t="shared" si="54"/>
        <v>416613.8047756569</v>
      </c>
      <c r="AC159" s="27">
        <f t="shared" si="65"/>
        <v>26542.416941524949</v>
      </c>
    </row>
    <row r="160" spans="5:29" x14ac:dyDescent="0.3">
      <c r="E160" s="28">
        <v>2042</v>
      </c>
      <c r="F160" s="28"/>
      <c r="G160" s="28"/>
      <c r="H160" s="30">
        <v>3000</v>
      </c>
      <c r="I160" s="30">
        <f t="shared" si="56"/>
        <v>8264.2381613587586</v>
      </c>
      <c r="J160" s="30">
        <f t="shared" si="52"/>
        <v>-5264.2381613587586</v>
      </c>
      <c r="K160" s="28"/>
      <c r="L160" s="28"/>
      <c r="M160" s="28"/>
      <c r="N160" s="28"/>
      <c r="O160" s="28"/>
      <c r="P160" s="30">
        <f t="shared" si="67"/>
        <v>0</v>
      </c>
      <c r="Q160" s="30">
        <f t="shared" si="53"/>
        <v>-5264.2381613587586</v>
      </c>
      <c r="R160" s="28"/>
      <c r="S160" s="30"/>
      <c r="T160" s="28">
        <f t="shared" si="69"/>
        <v>138423.38707244457</v>
      </c>
      <c r="U160" s="30">
        <f t="shared" si="68"/>
        <v>143848.08468410352</v>
      </c>
      <c r="V160" s="30">
        <f t="shared" si="60"/>
        <v>9820.9970470776625</v>
      </c>
      <c r="W160" s="30">
        <f t="shared" si="61"/>
        <v>30759.290861803533</v>
      </c>
      <c r="X160" s="30">
        <f t="shared" si="62"/>
        <v>27184.963574141355</v>
      </c>
      <c r="Y160" s="30">
        <f t="shared" si="62"/>
        <v>53992.805373568932</v>
      </c>
      <c r="Z160" s="30">
        <f t="shared" si="63"/>
        <v>34552.451707544089</v>
      </c>
      <c r="AA160" s="30">
        <f t="shared" si="64"/>
        <v>5695.2374842983691</v>
      </c>
      <c r="AB160" s="27">
        <f t="shared" si="54"/>
        <v>444277.21780498209</v>
      </c>
      <c r="AC160" s="27">
        <f t="shared" si="65"/>
        <v>27663.413029325195</v>
      </c>
    </row>
    <row r="161" spans="5:29" x14ac:dyDescent="0.3">
      <c r="E161" s="28">
        <v>2043</v>
      </c>
      <c r="F161" s="28"/>
      <c r="G161" s="28"/>
      <c r="H161" s="30">
        <v>3000</v>
      </c>
      <c r="I161" s="30">
        <f t="shared" si="56"/>
        <v>8512.1653061995221</v>
      </c>
      <c r="J161" s="30">
        <f t="shared" si="52"/>
        <v>-5512.1653061995221</v>
      </c>
      <c r="K161" s="28"/>
      <c r="L161" s="28"/>
      <c r="M161" s="28"/>
      <c r="N161" s="28"/>
      <c r="O161" s="28"/>
      <c r="P161" s="30">
        <f t="shared" si="67"/>
        <v>0</v>
      </c>
      <c r="Q161" s="30">
        <f t="shared" si="53"/>
        <v>-5512.1653061995221</v>
      </c>
      <c r="R161" s="28"/>
      <c r="S161" s="30"/>
      <c r="T161" s="28">
        <f t="shared" si="69"/>
        <v>142576.08868461792</v>
      </c>
      <c r="U161" s="30">
        <f t="shared" si="68"/>
        <v>142234.71091202731</v>
      </c>
      <c r="V161" s="30">
        <f t="shared" si="60"/>
        <v>10066.521973254605</v>
      </c>
      <c r="W161" s="30">
        <f t="shared" si="61"/>
        <v>32451.051859202726</v>
      </c>
      <c r="X161" s="30">
        <f t="shared" ref="X161:Y176" si="70">X160+X160*$C$17+L160</f>
        <v>28680.136570719129</v>
      </c>
      <c r="Y161" s="30">
        <f t="shared" si="70"/>
        <v>56962.409669115223</v>
      </c>
      <c r="Z161" s="30">
        <f t="shared" si="63"/>
        <v>36346.415000199777</v>
      </c>
      <c r="AA161" s="30">
        <f t="shared" si="64"/>
        <v>5979.9993585132879</v>
      </c>
      <c r="AB161" s="27">
        <f t="shared" si="54"/>
        <v>455297.33402764995</v>
      </c>
      <c r="AC161" s="27">
        <f t="shared" si="65"/>
        <v>11020.116222667857</v>
      </c>
    </row>
    <row r="162" spans="5:29" x14ac:dyDescent="0.3">
      <c r="E162" s="28">
        <v>2044</v>
      </c>
      <c r="F162" s="28"/>
      <c r="G162" s="28"/>
      <c r="H162" s="30">
        <v>3000</v>
      </c>
      <c r="I162" s="30">
        <f t="shared" si="56"/>
        <v>8767.5302653855088</v>
      </c>
      <c r="J162" s="30">
        <f t="shared" si="52"/>
        <v>-5767.5302653855088</v>
      </c>
      <c r="K162" s="28"/>
      <c r="L162" s="28"/>
      <c r="M162" s="28"/>
      <c r="N162" s="28"/>
      <c r="O162" s="28"/>
      <c r="P162" s="30">
        <f t="shared" si="67"/>
        <v>0</v>
      </c>
      <c r="Q162" s="30">
        <f t="shared" si="53"/>
        <v>-5767.5302653855088</v>
      </c>
      <c r="R162" s="28"/>
      <c r="S162" s="30"/>
      <c r="T162" s="28">
        <f t="shared" si="69"/>
        <v>146853.37134515645</v>
      </c>
      <c r="U162" s="30">
        <f t="shared" si="68"/>
        <v>140332.46256877505</v>
      </c>
      <c r="V162" s="30">
        <f t="shared" si="60"/>
        <v>10318.185022585971</v>
      </c>
      <c r="W162" s="30">
        <f t="shared" si="61"/>
        <v>34235.859711458877</v>
      </c>
      <c r="X162" s="30">
        <f t="shared" si="70"/>
        <v>30257.544082108681</v>
      </c>
      <c r="Y162" s="30">
        <f t="shared" si="70"/>
        <v>60095.342200916559</v>
      </c>
      <c r="Z162" s="30">
        <f t="shared" si="63"/>
        <v>38233.520867010149</v>
      </c>
      <c r="AA162" s="30">
        <f t="shared" si="64"/>
        <v>6278.9993264389523</v>
      </c>
      <c r="AB162" s="27">
        <f t="shared" si="54"/>
        <v>466605.28512445063</v>
      </c>
      <c r="AC162" s="27">
        <f t="shared" si="65"/>
        <v>11307.95109680068</v>
      </c>
    </row>
    <row r="163" spans="5:29" x14ac:dyDescent="0.3">
      <c r="E163" s="28">
        <v>2045</v>
      </c>
      <c r="F163" s="28"/>
      <c r="G163" s="28"/>
      <c r="H163" s="30">
        <v>3000</v>
      </c>
      <c r="I163" s="30">
        <f t="shared" si="56"/>
        <v>9030.5561733470749</v>
      </c>
      <c r="J163" s="30">
        <f t="shared" si="52"/>
        <v>-6030.5561733470749</v>
      </c>
      <c r="K163" s="28"/>
      <c r="L163" s="28"/>
      <c r="M163" s="28"/>
      <c r="N163" s="28"/>
      <c r="O163" s="28"/>
      <c r="P163" s="30">
        <f t="shared" si="67"/>
        <v>0</v>
      </c>
      <c r="Q163" s="30">
        <f t="shared" si="53"/>
        <v>-6030.5561733470749</v>
      </c>
      <c r="R163" s="28"/>
      <c r="S163" s="30"/>
      <c r="T163" s="28">
        <f t="shared" si="69"/>
        <v>151258.97248551116</v>
      </c>
      <c r="U163" s="30">
        <f t="shared" si="68"/>
        <v>138126.57020338502</v>
      </c>
      <c r="V163" s="30">
        <f t="shared" si="60"/>
        <v>10576.13964815062</v>
      </c>
      <c r="W163" s="30">
        <f t="shared" si="61"/>
        <v>36118.831995589113</v>
      </c>
      <c r="X163" s="30">
        <f t="shared" si="70"/>
        <v>31921.70900662466</v>
      </c>
      <c r="Y163" s="30">
        <f t="shared" si="70"/>
        <v>63400.58602196697</v>
      </c>
      <c r="Z163" s="30">
        <f t="shared" si="63"/>
        <v>40218.605270425316</v>
      </c>
      <c r="AA163" s="30">
        <f t="shared" si="64"/>
        <v>6592.9492927608999</v>
      </c>
      <c r="AB163" s="27">
        <f t="shared" si="54"/>
        <v>478214.3639244138</v>
      </c>
      <c r="AC163" s="27">
        <f t="shared" si="65"/>
        <v>11609.078799963172</v>
      </c>
    </row>
    <row r="164" spans="5:29" x14ac:dyDescent="0.3">
      <c r="E164" s="28">
        <v>2046</v>
      </c>
      <c r="F164" s="28"/>
      <c r="G164" s="28"/>
      <c r="H164" s="30">
        <v>3000</v>
      </c>
      <c r="I164" s="30">
        <f t="shared" si="56"/>
        <v>9301.4728585474877</v>
      </c>
      <c r="J164" s="30">
        <f t="shared" si="52"/>
        <v>-6301.4728585474877</v>
      </c>
      <c r="K164" s="28"/>
      <c r="L164" s="28"/>
      <c r="M164" s="28"/>
      <c r="N164" s="28"/>
      <c r="O164" s="28"/>
      <c r="P164" s="30">
        <f t="shared" si="67"/>
        <v>0</v>
      </c>
      <c r="Q164" s="30">
        <f t="shared" si="53"/>
        <v>-6301.4728585474877</v>
      </c>
      <c r="R164" s="28"/>
      <c r="S164" s="30"/>
      <c r="T164" s="28">
        <f t="shared" si="69"/>
        <v>155796.74166007648</v>
      </c>
      <c r="U164" s="30">
        <f t="shared" si="68"/>
        <v>135601.66638179985</v>
      </c>
      <c r="V164" s="30">
        <f t="shared" si="60"/>
        <v>10840.543139354386</v>
      </c>
      <c r="W164" s="30">
        <f t="shared" si="61"/>
        <v>38105.367755346517</v>
      </c>
      <c r="X164" s="30">
        <f t="shared" si="70"/>
        <v>33677.40300198902</v>
      </c>
      <c r="Y164" s="30">
        <f t="shared" si="70"/>
        <v>66887.618253175155</v>
      </c>
      <c r="Z164" s="30">
        <f t="shared" si="63"/>
        <v>42306.7552560658</v>
      </c>
      <c r="AA164" s="30">
        <f t="shared" si="64"/>
        <v>6922.5967573989446</v>
      </c>
      <c r="AB164" s="27">
        <f t="shared" si="54"/>
        <v>490138.69220520614</v>
      </c>
      <c r="AC164" s="27">
        <f t="shared" si="65"/>
        <v>11924.328280792339</v>
      </c>
    </row>
    <row r="165" spans="5:29" x14ac:dyDescent="0.3">
      <c r="E165" s="28">
        <v>2047</v>
      </c>
      <c r="F165" s="28"/>
      <c r="G165" s="28"/>
      <c r="H165" s="30">
        <v>3000</v>
      </c>
      <c r="I165" s="30">
        <f t="shared" si="56"/>
        <v>9580.5170443039133</v>
      </c>
      <c r="J165" s="30">
        <f t="shared" si="52"/>
        <v>-6580.5170443039133</v>
      </c>
      <c r="K165" s="28"/>
      <c r="L165" s="28"/>
      <c r="M165" s="28"/>
      <c r="N165" s="28"/>
      <c r="O165" s="28"/>
      <c r="P165" s="30">
        <f t="shared" si="67"/>
        <v>0</v>
      </c>
      <c r="Q165" s="30">
        <f t="shared" si="53"/>
        <v>-6580.5170443039133</v>
      </c>
      <c r="R165" s="28"/>
      <c r="S165" s="30"/>
      <c r="T165" s="28">
        <f t="shared" si="69"/>
        <v>160470.6439098788</v>
      </c>
      <c r="U165" s="30">
        <f t="shared" si="68"/>
        <v>132741.76381602243</v>
      </c>
      <c r="V165" s="30">
        <f t="shared" si="60"/>
        <v>11111.556717838246</v>
      </c>
      <c r="W165" s="30">
        <f t="shared" si="61"/>
        <v>40201.162981890579</v>
      </c>
      <c r="X165" s="30">
        <f t="shared" si="70"/>
        <v>35529.660167098416</v>
      </c>
      <c r="Y165" s="30">
        <f t="shared" si="70"/>
        <v>70566.437257099795</v>
      </c>
      <c r="Z165" s="30">
        <f t="shared" si="63"/>
        <v>44503.321988960735</v>
      </c>
      <c r="AA165" s="30">
        <f t="shared" si="64"/>
        <v>7268.7265952688922</v>
      </c>
      <c r="AB165" s="27">
        <f t="shared" si="54"/>
        <v>502393.27343405777</v>
      </c>
      <c r="AC165" s="27">
        <f t="shared" si="65"/>
        <v>12254.581228851632</v>
      </c>
    </row>
    <row r="166" spans="5:29" x14ac:dyDescent="0.3">
      <c r="E166" s="28">
        <v>2048</v>
      </c>
      <c r="F166" s="28" t="s">
        <v>51</v>
      </c>
      <c r="G166" s="28"/>
      <c r="H166" s="30">
        <v>3000</v>
      </c>
      <c r="I166" s="30">
        <f t="shared" si="56"/>
        <v>9867.9325556330314</v>
      </c>
      <c r="J166" s="30">
        <f t="shared" si="52"/>
        <v>-6867.9325556330314</v>
      </c>
      <c r="K166" s="28"/>
      <c r="L166" s="28"/>
      <c r="M166" s="28"/>
      <c r="N166" s="28"/>
      <c r="O166" s="28"/>
      <c r="P166" s="30">
        <f t="shared" si="67"/>
        <v>0</v>
      </c>
      <c r="Q166" s="30">
        <f t="shared" si="53"/>
        <v>-6867.9325556330314</v>
      </c>
      <c r="R166" s="28"/>
      <c r="S166" s="30"/>
      <c r="T166" s="28">
        <f t="shared" si="69"/>
        <v>165284.76322717516</v>
      </c>
      <c r="U166" s="30">
        <f t="shared" si="68"/>
        <v>129530.23273736917</v>
      </c>
      <c r="V166" s="30">
        <f t="shared" si="60"/>
        <v>11389.345635784202</v>
      </c>
      <c r="W166" s="30">
        <f t="shared" si="61"/>
        <v>42412.226945894559</v>
      </c>
      <c r="X166" s="30">
        <f t="shared" si="70"/>
        <v>37483.791476288832</v>
      </c>
      <c r="Y166" s="30">
        <f t="shared" si="70"/>
        <v>74447.591306240283</v>
      </c>
      <c r="Z166" s="30">
        <f t="shared" si="63"/>
        <v>46813.934466627579</v>
      </c>
      <c r="AA166" s="30">
        <f t="shared" si="64"/>
        <v>7632.1629250323367</v>
      </c>
      <c r="AB166" s="27">
        <f t="shared" si="54"/>
        <v>514994.04872041213</v>
      </c>
      <c r="AC166" s="27">
        <f t="shared" si="65"/>
        <v>12600.775286354357</v>
      </c>
    </row>
    <row r="167" spans="5:29" x14ac:dyDescent="0.3">
      <c r="E167" s="28">
        <v>2049</v>
      </c>
      <c r="F167" s="28"/>
      <c r="G167" s="28"/>
      <c r="H167" s="30">
        <v>3000</v>
      </c>
      <c r="I167" s="30">
        <f t="shared" si="56"/>
        <v>10163.970532302023</v>
      </c>
      <c r="J167" s="30">
        <f t="shared" si="52"/>
        <v>-7163.9705323020225</v>
      </c>
      <c r="K167" s="28"/>
      <c r="L167" s="28"/>
      <c r="M167" s="28"/>
      <c r="N167" s="28"/>
      <c r="O167" s="28"/>
      <c r="P167" s="30">
        <f t="shared" si="67"/>
        <v>0</v>
      </c>
      <c r="Q167" s="30">
        <f t="shared" si="53"/>
        <v>-7163.9705323020225</v>
      </c>
      <c r="R167" s="28"/>
      <c r="S167" s="30"/>
      <c r="T167" s="28">
        <f t="shared" si="69"/>
        <v>170243.30612399042</v>
      </c>
      <c r="U167" s="30">
        <f t="shared" si="68"/>
        <v>125949.77748861055</v>
      </c>
      <c r="V167" s="30">
        <f t="shared" si="60"/>
        <v>11674.079276678807</v>
      </c>
      <c r="W167" s="30">
        <f t="shared" si="61"/>
        <v>44744.899427918761</v>
      </c>
      <c r="X167" s="30">
        <f t="shared" si="70"/>
        <v>39545.400007484721</v>
      </c>
      <c r="Y167" s="30">
        <f t="shared" si="70"/>
        <v>78542.208828083501</v>
      </c>
      <c r="Z167" s="30">
        <f t="shared" si="63"/>
        <v>49244.51394413488</v>
      </c>
      <c r="AA167" s="30">
        <f t="shared" si="64"/>
        <v>8013.7710712839535</v>
      </c>
      <c r="AB167" s="27">
        <f t="shared" si="54"/>
        <v>527957.95616818557</v>
      </c>
      <c r="AC167" s="27">
        <f t="shared" si="65"/>
        <v>12963.907447773439</v>
      </c>
    </row>
    <row r="168" spans="5:29" x14ac:dyDescent="0.3">
      <c r="E168" s="28">
        <v>2050</v>
      </c>
      <c r="F168" s="28"/>
      <c r="G168" s="28"/>
      <c r="H168" s="30">
        <v>3000</v>
      </c>
      <c r="I168" s="30">
        <f t="shared" si="56"/>
        <v>10468.889648271084</v>
      </c>
      <c r="J168" s="30">
        <f t="shared" si="52"/>
        <v>-7468.8896482710843</v>
      </c>
      <c r="K168" s="28"/>
      <c r="L168" s="28"/>
      <c r="M168" s="28"/>
      <c r="N168" s="28"/>
      <c r="O168" s="28"/>
      <c r="P168" s="30">
        <f t="shared" si="67"/>
        <v>0</v>
      </c>
      <c r="Q168" s="30">
        <f t="shared" si="53"/>
        <v>-7468.8896482710843</v>
      </c>
      <c r="R168" s="28"/>
      <c r="S168" s="30"/>
      <c r="T168" s="28">
        <f t="shared" si="69"/>
        <v>175350.60530771012</v>
      </c>
      <c r="U168" s="30">
        <f t="shared" si="68"/>
        <v>121982.41230896946</v>
      </c>
      <c r="V168" s="30">
        <f t="shared" si="60"/>
        <v>11965.931258595778</v>
      </c>
      <c r="W168" s="30">
        <f t="shared" si="61"/>
        <v>47205.868896454296</v>
      </c>
      <c r="X168" s="30">
        <f t="shared" si="70"/>
        <v>41720.397007896383</v>
      </c>
      <c r="Y168" s="30">
        <f t="shared" si="70"/>
        <v>82862.0303136281</v>
      </c>
      <c r="Z168" s="30">
        <f t="shared" si="63"/>
        <v>51801.289108114361</v>
      </c>
      <c r="AA168" s="30">
        <f t="shared" si="64"/>
        <v>8414.4596248481503</v>
      </c>
      <c r="AB168" s="27">
        <f t="shared" si="54"/>
        <v>541302.99382621655</v>
      </c>
      <c r="AC168" s="27">
        <f t="shared" si="65"/>
        <v>13345.037658030982</v>
      </c>
    </row>
    <row r="169" spans="5:29" x14ac:dyDescent="0.3">
      <c r="E169" s="28">
        <v>2051</v>
      </c>
      <c r="F169" s="28"/>
      <c r="G169" s="28"/>
      <c r="H169" s="30">
        <v>3000</v>
      </c>
      <c r="I169" s="30">
        <f t="shared" si="56"/>
        <v>10782.956337719217</v>
      </c>
      <c r="J169" s="30">
        <f t="shared" si="52"/>
        <v>-7782.9563377192171</v>
      </c>
      <c r="K169" s="28"/>
      <c r="L169" s="28"/>
      <c r="M169" s="28"/>
      <c r="N169" s="28"/>
      <c r="O169" s="28"/>
      <c r="P169" s="30">
        <f t="shared" si="67"/>
        <v>0</v>
      </c>
      <c r="Q169" s="30">
        <f t="shared" si="53"/>
        <v>-7782.9563377192171</v>
      </c>
      <c r="R169" s="28"/>
      <c r="S169" s="30"/>
      <c r="T169" s="28">
        <f t="shared" si="69"/>
        <v>180611.12346694144</v>
      </c>
      <c r="U169" s="30">
        <f t="shared" si="68"/>
        <v>117609.43628510002</v>
      </c>
      <c r="V169" s="30">
        <f t="shared" si="60"/>
        <v>12265.079540060673</v>
      </c>
      <c r="W169" s="30">
        <f t="shared" si="61"/>
        <v>49802.191685759281</v>
      </c>
      <c r="X169" s="30">
        <f t="shared" si="70"/>
        <v>44015.018843330683</v>
      </c>
      <c r="Y169" s="30">
        <f t="shared" si="70"/>
        <v>87419.441980877644</v>
      </c>
      <c r="Z169" s="30">
        <f t="shared" si="63"/>
        <v>54490.812038607663</v>
      </c>
      <c r="AA169" s="30">
        <f t="shared" si="64"/>
        <v>8835.1826060905587</v>
      </c>
      <c r="AB169" s="27">
        <f t="shared" si="54"/>
        <v>555048.28644676798</v>
      </c>
      <c r="AC169" s="27">
        <f t="shared" si="65"/>
        <v>13745.292620551423</v>
      </c>
    </row>
    <row r="170" spans="5:29" x14ac:dyDescent="0.3">
      <c r="E170" s="28">
        <v>2052</v>
      </c>
      <c r="F170" s="28"/>
      <c r="G170" s="28"/>
      <c r="H170" s="30">
        <v>3000</v>
      </c>
      <c r="I170" s="30">
        <f t="shared" si="56"/>
        <v>11106.445027850794</v>
      </c>
      <c r="J170" s="30">
        <f t="shared" si="52"/>
        <v>-8106.4450278507938</v>
      </c>
      <c r="K170" s="28"/>
      <c r="L170" s="28"/>
      <c r="M170" s="28"/>
      <c r="N170" s="28"/>
      <c r="O170" s="28"/>
      <c r="P170" s="30">
        <f t="shared" si="67"/>
        <v>0</v>
      </c>
      <c r="Q170" s="30">
        <f t="shared" si="53"/>
        <v>-8106.4450278507938</v>
      </c>
      <c r="R170" s="28"/>
      <c r="S170" s="30"/>
      <c r="T170" s="28">
        <f t="shared" si="69"/>
        <v>186029.4571709497</v>
      </c>
      <c r="U170" s="30">
        <f t="shared" si="68"/>
        <v>112811.40744029664</v>
      </c>
      <c r="V170" s="30">
        <f t="shared" si="60"/>
        <v>12571.70652856219</v>
      </c>
      <c r="W170" s="30">
        <f t="shared" si="61"/>
        <v>52541.312228476039</v>
      </c>
      <c r="X170" s="30">
        <f t="shared" si="70"/>
        <v>46435.84487971387</v>
      </c>
      <c r="Y170" s="30">
        <f t="shared" si="70"/>
        <v>92227.51128982591</v>
      </c>
      <c r="Z170" s="30">
        <f t="shared" si="63"/>
        <v>57319.974999652171</v>
      </c>
      <c r="AA170" s="30">
        <f t="shared" si="64"/>
        <v>9276.941736395087</v>
      </c>
      <c r="AB170" s="27">
        <f t="shared" si="54"/>
        <v>569214.15627387154</v>
      </c>
      <c r="AC170" s="27">
        <f t="shared" si="65"/>
        <v>14165.869827103568</v>
      </c>
    </row>
    <row r="171" spans="5:29" x14ac:dyDescent="0.3">
      <c r="E171" s="28">
        <v>2053</v>
      </c>
      <c r="F171" s="28"/>
      <c r="G171" s="28"/>
      <c r="H171" s="30">
        <v>3000</v>
      </c>
      <c r="I171" s="30">
        <f t="shared" si="56"/>
        <v>11439.638378686317</v>
      </c>
      <c r="J171" s="30">
        <f t="shared" si="52"/>
        <v>-8439.6383786863171</v>
      </c>
      <c r="K171" s="28"/>
      <c r="L171" s="28"/>
      <c r="M171" s="28"/>
      <c r="N171" s="28"/>
      <c r="O171" s="28"/>
      <c r="P171" s="30">
        <f t="shared" si="67"/>
        <v>0</v>
      </c>
      <c r="Q171" s="30">
        <f t="shared" si="53"/>
        <v>-8439.6383786863171</v>
      </c>
      <c r="R171" s="28"/>
      <c r="S171" s="30"/>
      <c r="T171" s="28">
        <f t="shared" si="69"/>
        <v>191610.34088607819</v>
      </c>
      <c r="U171" s="30">
        <f t="shared" si="68"/>
        <v>107568.11593328055</v>
      </c>
      <c r="V171" s="30">
        <f t="shared" si="60"/>
        <v>12885.999191776245</v>
      </c>
      <c r="W171" s="30">
        <f t="shared" si="61"/>
        <v>55431.084401042222</v>
      </c>
      <c r="X171" s="30">
        <f t="shared" si="70"/>
        <v>48989.816348098131</v>
      </c>
      <c r="Y171" s="30">
        <f t="shared" si="70"/>
        <v>97300.024410766331</v>
      </c>
      <c r="Z171" s="30">
        <f t="shared" si="63"/>
        <v>60296.02810163411</v>
      </c>
      <c r="AA171" s="30">
        <f t="shared" si="64"/>
        <v>9740.7888232148416</v>
      </c>
      <c r="AB171" s="27">
        <f t="shared" si="54"/>
        <v>583822.19809589058</v>
      </c>
      <c r="AC171" s="27">
        <f t="shared" si="65"/>
        <v>14608.041822019033</v>
      </c>
    </row>
    <row r="172" spans="5:29" x14ac:dyDescent="0.3">
      <c r="E172" s="28">
        <v>2054</v>
      </c>
      <c r="F172" s="28"/>
      <c r="G172" s="28"/>
      <c r="H172" s="30">
        <v>3000</v>
      </c>
      <c r="I172" s="30">
        <f t="shared" si="56"/>
        <v>11782.827530046907</v>
      </c>
      <c r="J172" s="30">
        <f t="shared" si="52"/>
        <v>-8782.8275300469068</v>
      </c>
      <c r="K172" s="28"/>
      <c r="L172" s="28"/>
      <c r="M172" s="28"/>
      <c r="N172" s="28"/>
      <c r="O172" s="28"/>
      <c r="P172" s="30">
        <f t="shared" si="67"/>
        <v>0</v>
      </c>
      <c r="Q172" s="30">
        <f t="shared" si="53"/>
        <v>-8782.8275300469068</v>
      </c>
      <c r="R172" s="28"/>
      <c r="S172" s="30"/>
      <c r="T172" s="28">
        <f t="shared" si="69"/>
        <v>197358.65111266053</v>
      </c>
      <c r="U172" s="30">
        <f t="shared" si="68"/>
        <v>101858.5563369809</v>
      </c>
      <c r="V172" s="30">
        <f t="shared" si="60"/>
        <v>13208.149171570651</v>
      </c>
      <c r="W172" s="30">
        <f t="shared" si="61"/>
        <v>58479.794043099544</v>
      </c>
      <c r="X172" s="30">
        <f t="shared" si="70"/>
        <v>51684.256247243531</v>
      </c>
      <c r="Y172" s="30">
        <f t="shared" si="70"/>
        <v>102651.52575335848</v>
      </c>
      <c r="Z172" s="30">
        <f t="shared" si="63"/>
        <v>63426.597880670954</v>
      </c>
      <c r="AA172" s="30">
        <f t="shared" si="64"/>
        <v>10227.828264375583</v>
      </c>
      <c r="AB172" s="27">
        <f t="shared" si="54"/>
        <v>598895.35880996019</v>
      </c>
      <c r="AC172" s="27">
        <f t="shared" si="65"/>
        <v>15073.160714069614</v>
      </c>
    </row>
    <row r="173" spans="5:29" x14ac:dyDescent="0.3">
      <c r="E173" s="28">
        <v>2055</v>
      </c>
      <c r="F173" s="28"/>
      <c r="G173" s="28"/>
      <c r="H173" s="30">
        <v>3000</v>
      </c>
      <c r="I173" s="30">
        <f t="shared" si="56"/>
        <v>12136.312355948314</v>
      </c>
      <c r="J173" s="30">
        <f t="shared" si="52"/>
        <v>-9136.3123559483138</v>
      </c>
      <c r="K173" s="28"/>
      <c r="L173" s="28"/>
      <c r="M173" s="28"/>
      <c r="N173" s="28"/>
      <c r="O173" s="28"/>
      <c r="P173" s="30">
        <f t="shared" si="67"/>
        <v>0</v>
      </c>
      <c r="Q173" s="30">
        <f t="shared" si="53"/>
        <v>-9136.3123559483138</v>
      </c>
      <c r="R173" s="28"/>
      <c r="S173" s="30"/>
      <c r="T173" s="28">
        <f t="shared" si="69"/>
        <v>203279.41064604034</v>
      </c>
      <c r="U173" s="30">
        <f t="shared" si="68"/>
        <v>95660.898966766559</v>
      </c>
      <c r="V173" s="30">
        <f t="shared" si="60"/>
        <v>13538.352900859916</v>
      </c>
      <c r="W173" s="30">
        <f t="shared" si="61"/>
        <v>61696.182715470022</v>
      </c>
      <c r="X173" s="30">
        <f t="shared" si="70"/>
        <v>54526.890340841928</v>
      </c>
      <c r="Y173" s="30">
        <f t="shared" si="70"/>
        <v>108297.35966979319</v>
      </c>
      <c r="Z173" s="30">
        <f t="shared" si="63"/>
        <v>66719.706842635394</v>
      </c>
      <c r="AA173" s="30">
        <f t="shared" si="64"/>
        <v>10739.219677594361</v>
      </c>
      <c r="AB173" s="27">
        <f t="shared" si="54"/>
        <v>614458.02176000166</v>
      </c>
      <c r="AC173" s="27">
        <f t="shared" si="65"/>
        <v>15562.662950041471</v>
      </c>
    </row>
    <row r="174" spans="5:29" x14ac:dyDescent="0.3">
      <c r="E174" s="28">
        <v>2056</v>
      </c>
      <c r="F174" s="28"/>
      <c r="G174" s="28"/>
      <c r="H174" s="30">
        <v>3000</v>
      </c>
      <c r="I174" s="30">
        <f t="shared" si="56"/>
        <v>12500.401726626764</v>
      </c>
      <c r="J174" s="30">
        <f t="shared" si="52"/>
        <v>-9500.4017266267638</v>
      </c>
      <c r="K174" s="28"/>
      <c r="L174" s="28"/>
      <c r="M174" s="28"/>
      <c r="N174" s="28"/>
      <c r="O174" s="28"/>
      <c r="P174" s="30">
        <f t="shared" si="67"/>
        <v>0</v>
      </c>
      <c r="Q174" s="30">
        <f t="shared" si="53"/>
        <v>-9500.4017266267638</v>
      </c>
      <c r="R174" s="28"/>
      <c r="S174" s="30"/>
      <c r="T174" s="28">
        <f t="shared" si="69"/>
        <v>209377.79296542157</v>
      </c>
      <c r="U174" s="30">
        <f t="shared" si="68"/>
        <v>88952.460226594791</v>
      </c>
      <c r="V174" s="30">
        <f t="shared" si="60"/>
        <v>13876.811723381414</v>
      </c>
      <c r="W174" s="30">
        <f t="shared" si="61"/>
        <v>65089.472764820872</v>
      </c>
      <c r="X174" s="30">
        <f t="shared" si="70"/>
        <v>57525.869309588234</v>
      </c>
      <c r="Y174" s="30">
        <f t="shared" si="70"/>
        <v>114253.71445163182</v>
      </c>
      <c r="Z174" s="30">
        <f t="shared" si="63"/>
        <v>70183.794021905022</v>
      </c>
      <c r="AA174" s="30">
        <f t="shared" si="64"/>
        <v>11276.18066147408</v>
      </c>
      <c r="AB174" s="27">
        <f t="shared" si="54"/>
        <v>630536.09612481785</v>
      </c>
      <c r="AC174" s="27">
        <f t="shared" si="65"/>
        <v>16078.074364816188</v>
      </c>
    </row>
    <row r="175" spans="5:29" x14ac:dyDescent="0.3">
      <c r="E175" s="28">
        <v>2057</v>
      </c>
      <c r="F175" s="28"/>
      <c r="G175" s="28"/>
      <c r="H175" s="30">
        <v>3000</v>
      </c>
      <c r="I175" s="30">
        <f t="shared" si="56"/>
        <v>12875.413778425567</v>
      </c>
      <c r="J175" s="30">
        <f t="shared" si="52"/>
        <v>-9875.4137784255672</v>
      </c>
      <c r="K175" s="28"/>
      <c r="L175" s="28"/>
      <c r="M175" s="28"/>
      <c r="N175" s="28"/>
      <c r="O175" s="28"/>
      <c r="P175" s="30">
        <f t="shared" si="67"/>
        <v>0</v>
      </c>
      <c r="Q175" s="30">
        <f t="shared" si="53"/>
        <v>-9875.4137784255672</v>
      </c>
      <c r="R175" s="28"/>
      <c r="S175" s="30"/>
      <c r="T175" s="28">
        <f t="shared" si="69"/>
        <v>215659.12675438423</v>
      </c>
      <c r="U175" s="30">
        <f t="shared" si="68"/>
        <v>81709.671940518994</v>
      </c>
      <c r="V175" s="30">
        <f t="shared" si="60"/>
        <v>14223.732016465949</v>
      </c>
      <c r="W175" s="30">
        <f t="shared" si="61"/>
        <v>68669.393766886016</v>
      </c>
      <c r="X175" s="30">
        <f t="shared" si="70"/>
        <v>60689.792121615588</v>
      </c>
      <c r="Y175" s="30">
        <f t="shared" si="70"/>
        <v>120537.66874647158</v>
      </c>
      <c r="Z175" s="30">
        <f t="shared" si="63"/>
        <v>73827.736607522325</v>
      </c>
      <c r="AA175" s="30">
        <f t="shared" si="64"/>
        <v>11839.989694547783</v>
      </c>
      <c r="AB175" s="27">
        <f t="shared" si="54"/>
        <v>647157.11164841254</v>
      </c>
      <c r="AC175" s="27">
        <f t="shared" si="65"/>
        <v>16621.015523594688</v>
      </c>
    </row>
    <row r="176" spans="5:29" x14ac:dyDescent="0.3">
      <c r="E176" s="28">
        <v>2058</v>
      </c>
      <c r="F176" s="28"/>
      <c r="G176" s="28"/>
      <c r="H176" s="30">
        <v>3000</v>
      </c>
      <c r="I176" s="30">
        <f t="shared" si="56"/>
        <v>13261.676191778335</v>
      </c>
      <c r="J176" s="30">
        <f t="shared" si="52"/>
        <v>-10261.676191778335</v>
      </c>
      <c r="K176" s="28"/>
      <c r="L176" s="28"/>
      <c r="M176" s="28"/>
      <c r="N176" s="28"/>
      <c r="O176" s="28"/>
      <c r="P176" s="30">
        <f t="shared" si="67"/>
        <v>0</v>
      </c>
      <c r="Q176" s="30">
        <f t="shared" si="53"/>
        <v>-10261.676191778335</v>
      </c>
      <c r="R176" s="28"/>
      <c r="S176" s="30"/>
      <c r="T176" s="28">
        <f t="shared" si="69"/>
        <v>222128.90055701576</v>
      </c>
      <c r="U176" s="30">
        <f t="shared" si="68"/>
        <v>73908.049635943797</v>
      </c>
      <c r="V176" s="30">
        <f t="shared" si="60"/>
        <v>14579.325316877597</v>
      </c>
      <c r="W176" s="30">
        <f t="shared" si="61"/>
        <v>72446.210424064746</v>
      </c>
      <c r="X176" s="30">
        <f t="shared" si="70"/>
        <v>64027.730688304444</v>
      </c>
      <c r="Y176" s="30">
        <f t="shared" si="70"/>
        <v>127167.24052752752</v>
      </c>
      <c r="Z176" s="30">
        <f t="shared" si="63"/>
        <v>77660.872692184887</v>
      </c>
      <c r="AA176" s="30">
        <f t="shared" si="64"/>
        <v>12431.989179275171</v>
      </c>
      <c r="AB176" s="27">
        <f t="shared" si="54"/>
        <v>664350.31902119378</v>
      </c>
      <c r="AC176" s="27">
        <f t="shared" si="65"/>
        <v>17193.207372781239</v>
      </c>
    </row>
    <row r="177" spans="5:29" x14ac:dyDescent="0.3">
      <c r="E177" s="28">
        <v>2059</v>
      </c>
      <c r="F177" s="28"/>
      <c r="G177" s="28"/>
      <c r="H177" s="30">
        <v>3000</v>
      </c>
      <c r="I177" s="30">
        <f t="shared" si="56"/>
        <v>13659.526477531686</v>
      </c>
      <c r="J177" s="30">
        <f t="shared" si="52"/>
        <v>-10659.526477531686</v>
      </c>
      <c r="K177" s="28"/>
      <c r="L177" s="28"/>
      <c r="M177" s="28"/>
      <c r="N177" s="28"/>
      <c r="O177" s="28"/>
      <c r="P177" s="30">
        <f t="shared" si="67"/>
        <v>0</v>
      </c>
      <c r="Q177" s="30">
        <f t="shared" si="53"/>
        <v>-10659.526477531686</v>
      </c>
      <c r="R177" s="28"/>
      <c r="S177" s="30"/>
      <c r="T177" s="28">
        <f t="shared" si="69"/>
        <v>228792.76757372625</v>
      </c>
      <c r="U177" s="30">
        <f t="shared" si="68"/>
        <v>65522.159743925709</v>
      </c>
      <c r="V177" s="30">
        <f t="shared" si="60"/>
        <v>14943.808449799537</v>
      </c>
      <c r="W177" s="30">
        <f t="shared" si="61"/>
        <v>76430.751997388303</v>
      </c>
      <c r="X177" s="30">
        <f t="shared" ref="X177:Y183" si="71">X176+X176*$C$17+L176</f>
        <v>67549.255876161187</v>
      </c>
      <c r="Y177" s="30">
        <f t="shared" si="71"/>
        <v>134161.43875654152</v>
      </c>
      <c r="Z177" s="30">
        <f t="shared" si="63"/>
        <v>81693.025202363133</v>
      </c>
      <c r="AA177" s="30">
        <f t="shared" si="64"/>
        <v>13053.588638238931</v>
      </c>
      <c r="AB177" s="27">
        <f t="shared" si="54"/>
        <v>682146.79623814463</v>
      </c>
      <c r="AC177" s="27">
        <f t="shared" si="65"/>
        <v>17796.477216950851</v>
      </c>
    </row>
    <row r="178" spans="5:29" x14ac:dyDescent="0.3">
      <c r="E178" s="28">
        <v>2060</v>
      </c>
      <c r="F178" s="28"/>
      <c r="G178" s="28"/>
      <c r="H178" s="30">
        <v>3000</v>
      </c>
      <c r="I178" s="30">
        <f t="shared" si="56"/>
        <v>14069.312271857638</v>
      </c>
      <c r="J178" s="30">
        <f t="shared" si="52"/>
        <v>-11069.312271857638</v>
      </c>
      <c r="K178" s="28"/>
      <c r="L178" s="28"/>
      <c r="M178" s="28"/>
      <c r="N178" s="28"/>
      <c r="O178" s="28"/>
      <c r="P178" s="30">
        <f t="shared" si="67"/>
        <v>0</v>
      </c>
      <c r="Q178" s="30">
        <f t="shared" si="53"/>
        <v>-11069.312271857638</v>
      </c>
      <c r="R178" s="28"/>
      <c r="S178" s="30"/>
      <c r="T178" s="28">
        <f t="shared" si="69"/>
        <v>235656.55060093803</v>
      </c>
      <c r="U178" s="30">
        <f t="shared" si="68"/>
        <v>56525.585680694858</v>
      </c>
      <c r="V178" s="30">
        <f t="shared" si="60"/>
        <v>15317.403661044526</v>
      </c>
      <c r="W178" s="30">
        <f t="shared" si="61"/>
        <v>80634.443357244658</v>
      </c>
      <c r="X178" s="30">
        <f t="shared" si="71"/>
        <v>71264.464949350047</v>
      </c>
      <c r="Y178" s="30">
        <f t="shared" si="71"/>
        <v>141540.3178881513</v>
      </c>
      <c r="Z178" s="30">
        <f t="shared" si="63"/>
        <v>85934.527070869823</v>
      </c>
      <c r="AA178" s="30">
        <f t="shared" si="64"/>
        <v>13706.268070150878</v>
      </c>
      <c r="AB178" s="27">
        <f t="shared" si="54"/>
        <v>700579.56127844413</v>
      </c>
      <c r="AC178" s="27">
        <f t="shared" si="65"/>
        <v>18432.765040299506</v>
      </c>
    </row>
    <row r="179" spans="5:29" x14ac:dyDescent="0.3">
      <c r="E179" s="28">
        <v>2061</v>
      </c>
      <c r="F179" s="28"/>
      <c r="G179" s="28"/>
      <c r="H179" s="30">
        <v>3000</v>
      </c>
      <c r="I179" s="30">
        <f t="shared" si="56"/>
        <v>14491.391640013368</v>
      </c>
      <c r="J179" s="30">
        <f t="shared" si="52"/>
        <v>-11491.391640013368</v>
      </c>
      <c r="K179" s="28"/>
      <c r="L179" s="28"/>
      <c r="M179" s="28"/>
      <c r="N179" s="28"/>
      <c r="O179" s="28"/>
      <c r="P179" s="30">
        <f t="shared" si="67"/>
        <v>0</v>
      </c>
      <c r="Q179" s="30">
        <f t="shared" si="53"/>
        <v>-11491.391640013368</v>
      </c>
      <c r="R179" s="28"/>
      <c r="S179" s="30"/>
      <c r="T179" s="28">
        <f t="shared" si="69"/>
        <v>242726.24711896619</v>
      </c>
      <c r="U179" s="30">
        <f t="shared" si="68"/>
        <v>46890.892773413259</v>
      </c>
      <c r="V179" s="30">
        <f t="shared" si="60"/>
        <v>15700.338752570638</v>
      </c>
      <c r="W179" s="30">
        <f t="shared" si="61"/>
        <v>85069.33774189312</v>
      </c>
      <c r="X179" s="30">
        <f t="shared" si="71"/>
        <v>75184.010521564298</v>
      </c>
      <c r="Y179" s="30">
        <f t="shared" si="71"/>
        <v>149325.03537199963</v>
      </c>
      <c r="Z179" s="30">
        <f t="shared" si="63"/>
        <v>90396.247716389378</v>
      </c>
      <c r="AA179" s="30">
        <f t="shared" si="64"/>
        <v>14391.581473658422</v>
      </c>
      <c r="AB179" s="27">
        <f t="shared" si="54"/>
        <v>719683.69147045491</v>
      </c>
      <c r="AC179" s="27">
        <f t="shared" si="65"/>
        <v>19104.13019201078</v>
      </c>
    </row>
    <row r="180" spans="5:29" x14ac:dyDescent="0.3">
      <c r="E180" s="28">
        <v>2062</v>
      </c>
      <c r="H180" s="30">
        <v>3000</v>
      </c>
      <c r="I180" s="30">
        <f t="shared" si="56"/>
        <v>14926.133389213768</v>
      </c>
      <c r="J180" s="30">
        <f t="shared" si="52"/>
        <v>-11926.133389213768</v>
      </c>
      <c r="K180" s="28"/>
      <c r="L180" s="28"/>
      <c r="M180" s="28"/>
      <c r="N180" s="28"/>
      <c r="O180" s="28"/>
      <c r="P180" s="30">
        <f t="shared" si="67"/>
        <v>0</v>
      </c>
      <c r="Q180" s="30">
        <f t="shared" si="53"/>
        <v>-11926.133389213768</v>
      </c>
      <c r="R180" s="28"/>
      <c r="S180" s="30"/>
      <c r="T180" s="28">
        <f t="shared" si="69"/>
        <v>250008.03453253518</v>
      </c>
      <c r="U180" s="30">
        <f t="shared" si="68"/>
        <v>36589.591991989117</v>
      </c>
      <c r="V180" s="30">
        <f t="shared" si="60"/>
        <v>16092.847221384904</v>
      </c>
      <c r="W180" s="30">
        <f t="shared" si="61"/>
        <v>89748.151317697237</v>
      </c>
      <c r="X180" s="30">
        <f t="shared" si="71"/>
        <v>79319.131100250335</v>
      </c>
      <c r="Y180" s="30">
        <f t="shared" si="71"/>
        <v>157537.91231745962</v>
      </c>
      <c r="Z180" s="30">
        <f t="shared" si="63"/>
        <v>95089.620897824323</v>
      </c>
      <c r="AA180" s="30">
        <f t="shared" si="64"/>
        <v>15111.160547341342</v>
      </c>
      <c r="AB180" s="27">
        <f t="shared" si="54"/>
        <v>739496.44992648205</v>
      </c>
      <c r="AC180" s="27">
        <f t="shared" si="65"/>
        <v>19812.758456027135</v>
      </c>
    </row>
    <row r="181" spans="5:29" x14ac:dyDescent="0.3">
      <c r="E181" s="28">
        <v>2063</v>
      </c>
      <c r="H181" s="30">
        <v>3000</v>
      </c>
      <c r="I181" s="30">
        <f t="shared" si="56"/>
        <v>15373.917390890181</v>
      </c>
      <c r="J181" s="30">
        <f t="shared" si="52"/>
        <v>-12373.917390890181</v>
      </c>
      <c r="K181" s="28"/>
      <c r="L181" s="28"/>
      <c r="M181" s="28"/>
      <c r="N181" s="28"/>
      <c r="O181" s="28"/>
      <c r="P181" s="30">
        <f t="shared" si="67"/>
        <v>0</v>
      </c>
      <c r="Q181" s="30">
        <f t="shared" si="53"/>
        <v>-12373.917390890181</v>
      </c>
      <c r="R181" s="28"/>
      <c r="S181" s="30"/>
      <c r="T181" s="28">
        <f t="shared" si="69"/>
        <v>257508.27556851125</v>
      </c>
      <c r="U181" s="30">
        <f t="shared" si="68"/>
        <v>25592.10244753203</v>
      </c>
      <c r="V181" s="30">
        <f t="shared" si="60"/>
        <v>16495.168401919527</v>
      </c>
      <c r="W181" s="30">
        <f t="shared" si="61"/>
        <v>94684.29964017059</v>
      </c>
      <c r="X181" s="30">
        <f t="shared" si="71"/>
        <v>83681.6833107641</v>
      </c>
      <c r="Y181" s="30">
        <f t="shared" si="71"/>
        <v>166202.49749491989</v>
      </c>
      <c r="Z181" s="30">
        <f t="shared" si="63"/>
        <v>100026.67401483936</v>
      </c>
      <c r="AA181" s="30">
        <f t="shared" si="64"/>
        <v>15866.71857470841</v>
      </c>
      <c r="AB181" s="27">
        <f t="shared" si="54"/>
        <v>760057.41945336515</v>
      </c>
      <c r="AC181" s="27">
        <f t="shared" si="65"/>
        <v>20560.969526883098</v>
      </c>
    </row>
    <row r="182" spans="5:29" x14ac:dyDescent="0.3">
      <c r="E182" s="28">
        <v>2064</v>
      </c>
      <c r="H182" s="30">
        <v>3000</v>
      </c>
      <c r="I182" s="30">
        <f t="shared" si="56"/>
        <v>15835.134912616886</v>
      </c>
      <c r="J182" s="30">
        <f t="shared" si="52"/>
        <v>-12835.134912616886</v>
      </c>
      <c r="K182" s="28"/>
      <c r="L182" s="28"/>
      <c r="M182" s="28"/>
      <c r="N182" s="28"/>
      <c r="O182" s="28"/>
      <c r="P182" s="30">
        <f t="shared" si="67"/>
        <v>0</v>
      </c>
      <c r="Q182" s="30">
        <f t="shared" si="53"/>
        <v>-12835.134912616886</v>
      </c>
      <c r="R182" s="28"/>
      <c r="S182" s="30"/>
      <c r="T182" s="28">
        <f t="shared" si="69"/>
        <v>265233.52383556659</v>
      </c>
      <c r="U182" s="30">
        <f t="shared" si="68"/>
        <v>13867.712616760209</v>
      </c>
      <c r="V182" s="30">
        <f t="shared" si="60"/>
        <v>16907.547611967515</v>
      </c>
      <c r="W182" s="30">
        <f t="shared" si="61"/>
        <v>99891.936120379978</v>
      </c>
      <c r="X182" s="30">
        <f t="shared" si="71"/>
        <v>88284.175892856132</v>
      </c>
      <c r="Y182" s="30">
        <f t="shared" si="71"/>
        <v>175343.63485714048</v>
      </c>
      <c r="Z182" s="30">
        <f t="shared" si="63"/>
        <v>105220.05892968983</v>
      </c>
      <c r="AA182" s="30">
        <f t="shared" si="64"/>
        <v>16660.054503443829</v>
      </c>
      <c r="AB182" s="27">
        <f t="shared" si="54"/>
        <v>781408.64436780463</v>
      </c>
      <c r="AC182" s="27">
        <f t="shared" si="65"/>
        <v>21351.224914439488</v>
      </c>
    </row>
    <row r="183" spans="5:29" x14ac:dyDescent="0.3">
      <c r="E183" s="28">
        <v>2065</v>
      </c>
      <c r="H183" s="30">
        <v>3000</v>
      </c>
      <c r="I183" s="30">
        <f t="shared" si="56"/>
        <v>16310.188959995394</v>
      </c>
      <c r="J183" s="30">
        <f t="shared" si="52"/>
        <v>-13310.188959995394</v>
      </c>
      <c r="K183" s="28"/>
      <c r="L183" s="28"/>
      <c r="M183" s="28"/>
      <c r="N183" s="28"/>
      <c r="O183" s="28"/>
      <c r="P183" s="30">
        <f t="shared" si="67"/>
        <v>0</v>
      </c>
      <c r="Q183" s="30">
        <f t="shared" si="53"/>
        <v>-13310.188959995394</v>
      </c>
      <c r="R183" s="28"/>
      <c r="S183" s="30"/>
      <c r="T183" s="28">
        <f t="shared" si="69"/>
        <v>273190.52955063363</v>
      </c>
      <c r="U183" s="30">
        <f t="shared" si="68"/>
        <v>1384.5402503566966</v>
      </c>
      <c r="V183" s="30">
        <f t="shared" si="60"/>
        <v>17330.236302266701</v>
      </c>
      <c r="W183" s="30">
        <f t="shared" si="61"/>
        <v>105385.99260700088</v>
      </c>
      <c r="X183" s="30">
        <f t="shared" si="71"/>
        <v>93139.805566963216</v>
      </c>
      <c r="Y183" s="30">
        <f t="shared" si="71"/>
        <v>184987.53477428321</v>
      </c>
      <c r="Z183" s="30">
        <f t="shared" si="63"/>
        <v>110683.08438931932</v>
      </c>
      <c r="AA183" s="30">
        <f t="shared" si="64"/>
        <v>17493.05722861602</v>
      </c>
      <c r="AB183" s="27">
        <f t="shared" si="54"/>
        <v>803594.78066943958</v>
      </c>
      <c r="AC183" s="27">
        <f t="shared" si="65"/>
        <v>22186.13630163495</v>
      </c>
    </row>
  </sheetData>
  <mergeCells count="10">
    <mergeCell ref="K94:R94"/>
    <mergeCell ref="E140:AC140"/>
    <mergeCell ref="K141:R141"/>
    <mergeCell ref="E1:AC1"/>
    <mergeCell ref="K2:R2"/>
    <mergeCell ref="A15:A17"/>
    <mergeCell ref="A19:A21"/>
    <mergeCell ref="E47:AC47"/>
    <mergeCell ref="K48:R48"/>
    <mergeCell ref="E93:AC9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자산</vt:lpstr>
      <vt:lpstr>일별</vt:lpstr>
      <vt:lpstr>연금목표</vt:lpstr>
      <vt:lpstr>휴이목표</vt:lpstr>
      <vt:lpstr>연금</vt:lpstr>
      <vt:lpstr>영석연봉</vt:lpstr>
      <vt:lpstr>미래55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2026-06-07T09:47:40Z</dcterms:modified>
</cp:coreProperties>
</file>